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rolinaChristofolet\Downloads\"/>
    </mc:Choice>
  </mc:AlternateContent>
  <xr:revisionPtr revIDLastSave="0" documentId="13_ncr:1_{EF5FDBE3-D0B6-4B11-BD4D-245AD1B5A00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OH" sheetId="1" r:id="rId1"/>
    <sheet name="Ara" sheetId="2" r:id="rId2"/>
    <sheet name="Jpe" sheetId="3" r:id="rId3"/>
    <sheet name="Base" sheetId="4" r:id="rId4"/>
  </sheets>
  <definedNames>
    <definedName name="_xlnm._FilterDatabase" localSheetId="3" hidden="1">Base!$B$2:$R$202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02" i="4" l="1"/>
  <c r="M202" i="4"/>
  <c r="O202" i="4" s="1"/>
  <c r="B202" i="4"/>
  <c r="R201" i="4"/>
  <c r="M201" i="4"/>
  <c r="O201" i="4" s="1"/>
  <c r="B201" i="4"/>
  <c r="R200" i="4"/>
  <c r="M200" i="4"/>
  <c r="O200" i="4" s="1"/>
  <c r="B200" i="4"/>
  <c r="R199" i="4"/>
  <c r="M199" i="4"/>
  <c r="O199" i="4" s="1"/>
  <c r="B199" i="4"/>
  <c r="R198" i="4"/>
  <c r="M198" i="4"/>
  <c r="O198" i="4" s="1"/>
  <c r="B198" i="4"/>
  <c r="R197" i="4"/>
  <c r="M197" i="4"/>
  <c r="O197" i="4" s="1"/>
  <c r="P197" i="4" s="1"/>
  <c r="B197" i="4"/>
  <c r="R196" i="4"/>
  <c r="M196" i="4"/>
  <c r="O196" i="4" s="1"/>
  <c r="B196" i="4"/>
  <c r="R195" i="4"/>
  <c r="M195" i="4"/>
  <c r="O195" i="4" s="1"/>
  <c r="B195" i="4"/>
  <c r="R194" i="4"/>
  <c r="M194" i="4"/>
  <c r="O194" i="4" s="1"/>
  <c r="B194" i="4"/>
  <c r="R193" i="4"/>
  <c r="M193" i="4"/>
  <c r="O193" i="4" s="1"/>
  <c r="B193" i="4"/>
  <c r="R192" i="4"/>
  <c r="M192" i="4"/>
  <c r="O192" i="4" s="1"/>
  <c r="B192" i="4"/>
  <c r="R191" i="4"/>
  <c r="M191" i="4"/>
  <c r="O191" i="4" s="1"/>
  <c r="B191" i="4"/>
  <c r="R190" i="4"/>
  <c r="M190" i="4"/>
  <c r="O190" i="4" s="1"/>
  <c r="B190" i="4"/>
  <c r="R189" i="4"/>
  <c r="M189" i="4"/>
  <c r="O189" i="4" s="1"/>
  <c r="B189" i="4"/>
  <c r="R188" i="4"/>
  <c r="M188" i="4"/>
  <c r="O188" i="4" s="1"/>
  <c r="B188" i="4"/>
  <c r="R187" i="4"/>
  <c r="M187" i="4"/>
  <c r="O187" i="4" s="1"/>
  <c r="B187" i="4"/>
  <c r="R186" i="4"/>
  <c r="M186" i="4"/>
  <c r="O186" i="4" s="1"/>
  <c r="B186" i="4"/>
  <c r="R185" i="4"/>
  <c r="M185" i="4"/>
  <c r="O185" i="4" s="1"/>
  <c r="B185" i="4"/>
  <c r="R184" i="4"/>
  <c r="M184" i="4"/>
  <c r="O184" i="4" s="1"/>
  <c r="B184" i="4"/>
  <c r="R183" i="4"/>
  <c r="M183" i="4"/>
  <c r="O183" i="4" s="1"/>
  <c r="B183" i="4"/>
  <c r="R182" i="4"/>
  <c r="M182" i="4"/>
  <c r="O182" i="4" s="1"/>
  <c r="B182" i="4"/>
  <c r="R181" i="4"/>
  <c r="M181" i="4"/>
  <c r="O181" i="4" s="1"/>
  <c r="B181" i="4"/>
  <c r="R180" i="4"/>
  <c r="M180" i="4"/>
  <c r="O180" i="4" s="1"/>
  <c r="B180" i="4"/>
  <c r="R179" i="4"/>
  <c r="M179" i="4"/>
  <c r="O179" i="4" s="1"/>
  <c r="B179" i="4"/>
  <c r="R178" i="4"/>
  <c r="M178" i="4"/>
  <c r="O178" i="4" s="1"/>
  <c r="B178" i="4"/>
  <c r="R177" i="4"/>
  <c r="M177" i="4"/>
  <c r="O177" i="4" s="1"/>
  <c r="B177" i="4"/>
  <c r="R176" i="4"/>
  <c r="M176" i="4"/>
  <c r="O176" i="4" s="1"/>
  <c r="B176" i="4"/>
  <c r="R175" i="4"/>
  <c r="M175" i="4"/>
  <c r="O175" i="4" s="1"/>
  <c r="B175" i="4"/>
  <c r="R174" i="4"/>
  <c r="M174" i="4"/>
  <c r="O174" i="4" s="1"/>
  <c r="B174" i="4"/>
  <c r="R173" i="4"/>
  <c r="M173" i="4"/>
  <c r="O173" i="4" s="1"/>
  <c r="B173" i="4"/>
  <c r="R172" i="4"/>
  <c r="M172" i="4"/>
  <c r="O172" i="4" s="1"/>
  <c r="B172" i="4"/>
  <c r="R171" i="4"/>
  <c r="M171" i="4"/>
  <c r="O171" i="4" s="1"/>
  <c r="B171" i="4"/>
  <c r="R170" i="4"/>
  <c r="M170" i="4"/>
  <c r="O170" i="4" s="1"/>
  <c r="B170" i="4"/>
  <c r="R169" i="4"/>
  <c r="M169" i="4"/>
  <c r="O169" i="4" s="1"/>
  <c r="B169" i="4"/>
  <c r="R168" i="4"/>
  <c r="M168" i="4"/>
  <c r="O168" i="4" s="1"/>
  <c r="B168" i="4"/>
  <c r="R167" i="4"/>
  <c r="M167" i="4"/>
  <c r="O167" i="4" s="1"/>
  <c r="B167" i="4"/>
  <c r="R166" i="4"/>
  <c r="M166" i="4"/>
  <c r="O166" i="4" s="1"/>
  <c r="B166" i="4"/>
  <c r="R165" i="4"/>
  <c r="M165" i="4"/>
  <c r="O165" i="4" s="1"/>
  <c r="B165" i="4"/>
  <c r="R164" i="4"/>
  <c r="M164" i="4"/>
  <c r="Q164" i="4"/>
  <c r="B164" i="4"/>
  <c r="R163" i="4"/>
  <c r="M163" i="4"/>
  <c r="Q163" i="4"/>
  <c r="B163" i="4"/>
  <c r="R162" i="4"/>
  <c r="M162" i="4"/>
  <c r="Q162" i="4"/>
  <c r="B162" i="4"/>
  <c r="R161" i="4"/>
  <c r="M161" i="4"/>
  <c r="O161" i="4" s="1"/>
  <c r="B161" i="4"/>
  <c r="R160" i="4"/>
  <c r="M160" i="4"/>
  <c r="O160" i="4" s="1"/>
  <c r="B160" i="4"/>
  <c r="R159" i="4"/>
  <c r="M159" i="4"/>
  <c r="O159" i="4" s="1"/>
  <c r="B159" i="4"/>
  <c r="R158" i="4"/>
  <c r="M158" i="4"/>
  <c r="O158" i="4" s="1"/>
  <c r="B158" i="4"/>
  <c r="R157" i="4"/>
  <c r="M157" i="4"/>
  <c r="O157" i="4" s="1"/>
  <c r="B157" i="4"/>
  <c r="R156" i="4"/>
  <c r="M156" i="4"/>
  <c r="O156" i="4" s="1"/>
  <c r="B156" i="4"/>
  <c r="R155" i="4"/>
  <c r="M155" i="4"/>
  <c r="O155" i="4" s="1"/>
  <c r="B155" i="4"/>
  <c r="R154" i="4"/>
  <c r="M154" i="4"/>
  <c r="O154" i="4" s="1"/>
  <c r="B154" i="4"/>
  <c r="R153" i="4"/>
  <c r="M153" i="4"/>
  <c r="O153" i="4" s="1"/>
  <c r="B153" i="4"/>
  <c r="R152" i="4"/>
  <c r="M152" i="4"/>
  <c r="O152" i="4" s="1"/>
  <c r="P152" i="4" s="1"/>
  <c r="B152" i="4"/>
  <c r="R151" i="4"/>
  <c r="M151" i="4"/>
  <c r="O151" i="4" s="1"/>
  <c r="B151" i="4"/>
  <c r="R150" i="4"/>
  <c r="M150" i="4"/>
  <c r="O150" i="4" s="1"/>
  <c r="B150" i="4"/>
  <c r="R149" i="4"/>
  <c r="M149" i="4"/>
  <c r="O149" i="4" s="1"/>
  <c r="B149" i="4"/>
  <c r="R148" i="4"/>
  <c r="M148" i="4"/>
  <c r="O148" i="4" s="1"/>
  <c r="B148" i="4"/>
  <c r="R147" i="4"/>
  <c r="M147" i="4"/>
  <c r="O147" i="4" s="1"/>
  <c r="B147" i="4"/>
  <c r="R146" i="4"/>
  <c r="M146" i="4"/>
  <c r="O146" i="4" s="1"/>
  <c r="P146" i="4" s="1"/>
  <c r="B146" i="4"/>
  <c r="R145" i="4"/>
  <c r="M145" i="4"/>
  <c r="O145" i="4" s="1"/>
  <c r="B145" i="4"/>
  <c r="R144" i="4"/>
  <c r="M144" i="4"/>
  <c r="O144" i="4" s="1"/>
  <c r="B144" i="4"/>
  <c r="R143" i="4"/>
  <c r="M143" i="4"/>
  <c r="O143" i="4" s="1"/>
  <c r="B143" i="4"/>
  <c r="R142" i="4"/>
  <c r="M142" i="4"/>
  <c r="O142" i="4" s="1"/>
  <c r="B142" i="4"/>
  <c r="R141" i="4"/>
  <c r="M141" i="4"/>
  <c r="O141" i="4" s="1"/>
  <c r="B141" i="4"/>
  <c r="R140" i="4"/>
  <c r="M140" i="4"/>
  <c r="O140" i="4" s="1"/>
  <c r="P140" i="4" s="1"/>
  <c r="B140" i="4"/>
  <c r="R139" i="4"/>
  <c r="M139" i="4"/>
  <c r="O139" i="4" s="1"/>
  <c r="B139" i="4"/>
  <c r="R138" i="4"/>
  <c r="M138" i="4"/>
  <c r="O138" i="4" s="1"/>
  <c r="B138" i="4"/>
  <c r="R137" i="4"/>
  <c r="M137" i="4"/>
  <c r="O137" i="4" s="1"/>
  <c r="B137" i="4"/>
  <c r="R136" i="4"/>
  <c r="M136" i="4"/>
  <c r="O136" i="4" s="1"/>
  <c r="B136" i="4"/>
  <c r="R135" i="4"/>
  <c r="M135" i="4"/>
  <c r="O135" i="4" s="1"/>
  <c r="B135" i="4"/>
  <c r="R134" i="4"/>
  <c r="M134" i="4"/>
  <c r="O134" i="4" s="1"/>
  <c r="B134" i="4"/>
  <c r="R133" i="4"/>
  <c r="M133" i="4"/>
  <c r="O133" i="4" s="1"/>
  <c r="B133" i="4"/>
  <c r="R132" i="4"/>
  <c r="M132" i="4"/>
  <c r="O132" i="4" s="1"/>
  <c r="P132" i="4" s="1"/>
  <c r="Q132" i="4"/>
  <c r="B132" i="4"/>
  <c r="R131" i="4"/>
  <c r="M131" i="4"/>
  <c r="O131" i="4" s="1"/>
  <c r="B131" i="4"/>
  <c r="R130" i="4"/>
  <c r="M130" i="4"/>
  <c r="O130" i="4" s="1"/>
  <c r="B130" i="4"/>
  <c r="R129" i="4"/>
  <c r="M129" i="4"/>
  <c r="O129" i="4" s="1"/>
  <c r="B129" i="4"/>
  <c r="R128" i="4"/>
  <c r="M128" i="4"/>
  <c r="O128" i="4" s="1"/>
  <c r="B128" i="4"/>
  <c r="R127" i="4"/>
  <c r="M127" i="4"/>
  <c r="O127" i="4" s="1"/>
  <c r="P127" i="4" s="1"/>
  <c r="B127" i="4"/>
  <c r="R126" i="4"/>
  <c r="M126" i="4"/>
  <c r="O126" i="4" s="1"/>
  <c r="B126" i="4"/>
  <c r="R125" i="4"/>
  <c r="M125" i="4"/>
  <c r="O125" i="4" s="1"/>
  <c r="B125" i="4"/>
  <c r="R124" i="4"/>
  <c r="M124" i="4"/>
  <c r="O124" i="4" s="1"/>
  <c r="P124" i="4" s="1"/>
  <c r="B124" i="4"/>
  <c r="R123" i="4"/>
  <c r="M123" i="4"/>
  <c r="O123" i="4" s="1"/>
  <c r="B123" i="4"/>
  <c r="R122" i="4"/>
  <c r="M122" i="4"/>
  <c r="O122" i="4" s="1"/>
  <c r="P122" i="4" s="1"/>
  <c r="B122" i="4"/>
  <c r="R121" i="4"/>
  <c r="M121" i="4"/>
  <c r="O121" i="4" s="1"/>
  <c r="B121" i="4"/>
  <c r="R120" i="4"/>
  <c r="M120" i="4"/>
  <c r="O120" i="4" s="1"/>
  <c r="B120" i="4"/>
  <c r="R119" i="4"/>
  <c r="M119" i="4"/>
  <c r="O119" i="4" s="1"/>
  <c r="B119" i="4"/>
  <c r="R118" i="4"/>
  <c r="M118" i="4"/>
  <c r="O118" i="4" s="1"/>
  <c r="B118" i="4"/>
  <c r="R117" i="4"/>
  <c r="M117" i="4"/>
  <c r="O117" i="4" s="1"/>
  <c r="P117" i="4" s="1"/>
  <c r="B117" i="4"/>
  <c r="R116" i="4"/>
  <c r="M116" i="4"/>
  <c r="O116" i="4" s="1"/>
  <c r="P116" i="4" s="1"/>
  <c r="B116" i="4"/>
  <c r="R115" i="4"/>
  <c r="M115" i="4"/>
  <c r="O115" i="4" s="1"/>
  <c r="B115" i="4"/>
  <c r="R114" i="4"/>
  <c r="M114" i="4"/>
  <c r="O114" i="4" s="1"/>
  <c r="B114" i="4"/>
  <c r="R113" i="4"/>
  <c r="M113" i="4"/>
  <c r="O113" i="4" s="1"/>
  <c r="P113" i="4" s="1"/>
  <c r="B113" i="4"/>
  <c r="R112" i="4"/>
  <c r="M112" i="4"/>
  <c r="O112" i="4" s="1"/>
  <c r="B112" i="4"/>
  <c r="R111" i="4"/>
  <c r="M111" i="4"/>
  <c r="O111" i="4" s="1"/>
  <c r="B111" i="4"/>
  <c r="R110" i="4"/>
  <c r="M110" i="4"/>
  <c r="O110" i="4" s="1"/>
  <c r="B110" i="4"/>
  <c r="R109" i="4"/>
  <c r="M109" i="4"/>
  <c r="O109" i="4" s="1"/>
  <c r="P109" i="4" s="1"/>
  <c r="B109" i="4"/>
  <c r="R108" i="4"/>
  <c r="M108" i="4"/>
  <c r="O108" i="4" s="1"/>
  <c r="B108" i="4"/>
  <c r="R107" i="4"/>
  <c r="M107" i="4"/>
  <c r="O107" i="4" s="1"/>
  <c r="B107" i="4"/>
  <c r="R106" i="4"/>
  <c r="M106" i="4"/>
  <c r="O106" i="4" s="1"/>
  <c r="B106" i="4"/>
  <c r="R105" i="4"/>
  <c r="M105" i="4"/>
  <c r="O105" i="4" s="1"/>
  <c r="P105" i="4" s="1"/>
  <c r="B105" i="4"/>
  <c r="R104" i="4"/>
  <c r="M104" i="4"/>
  <c r="O104" i="4" s="1"/>
  <c r="B104" i="4"/>
  <c r="R103" i="4"/>
  <c r="M103" i="4"/>
  <c r="O103" i="4" s="1"/>
  <c r="P103" i="4" s="1"/>
  <c r="B103" i="4"/>
  <c r="R102" i="4"/>
  <c r="M102" i="4"/>
  <c r="O102" i="4" s="1"/>
  <c r="B102" i="4"/>
  <c r="R101" i="4"/>
  <c r="M101" i="4"/>
  <c r="O101" i="4" s="1"/>
  <c r="B101" i="4"/>
  <c r="R100" i="4"/>
  <c r="M100" i="4"/>
  <c r="O100" i="4" s="1"/>
  <c r="B100" i="4"/>
  <c r="R99" i="4"/>
  <c r="M99" i="4"/>
  <c r="O99" i="4" s="1"/>
  <c r="B99" i="4"/>
  <c r="R98" i="4"/>
  <c r="M98" i="4"/>
  <c r="O98" i="4" s="1"/>
  <c r="B98" i="4"/>
  <c r="R97" i="4"/>
  <c r="M97" i="4"/>
  <c r="O97" i="4" s="1"/>
  <c r="P97" i="4" s="1"/>
  <c r="B97" i="4"/>
  <c r="R96" i="4"/>
  <c r="M96" i="4"/>
  <c r="O96" i="4" s="1"/>
  <c r="B96" i="4"/>
  <c r="R95" i="4"/>
  <c r="M95" i="4"/>
  <c r="O95" i="4" s="1"/>
  <c r="B95" i="4"/>
  <c r="R94" i="4"/>
  <c r="M94" i="4"/>
  <c r="O94" i="4" s="1"/>
  <c r="B94" i="4"/>
  <c r="R93" i="4"/>
  <c r="M93" i="4"/>
  <c r="O93" i="4" s="1"/>
  <c r="P93" i="4" s="1"/>
  <c r="B93" i="4"/>
  <c r="R92" i="4"/>
  <c r="M92" i="4"/>
  <c r="O92" i="4" s="1"/>
  <c r="B92" i="4"/>
  <c r="R91" i="4"/>
  <c r="M91" i="4"/>
  <c r="O91" i="4" s="1"/>
  <c r="B91" i="4"/>
  <c r="R90" i="4"/>
  <c r="M90" i="4"/>
  <c r="O90" i="4" s="1"/>
  <c r="B90" i="4"/>
  <c r="R89" i="4"/>
  <c r="M89" i="4"/>
  <c r="O89" i="4" s="1"/>
  <c r="P89" i="4" s="1"/>
  <c r="B89" i="4"/>
  <c r="R88" i="4"/>
  <c r="M88" i="4"/>
  <c r="O88" i="4" s="1"/>
  <c r="B88" i="4"/>
  <c r="R87" i="4"/>
  <c r="M87" i="4"/>
  <c r="O87" i="4" s="1"/>
  <c r="P87" i="4" s="1"/>
  <c r="B87" i="4"/>
  <c r="R86" i="4"/>
  <c r="M86" i="4"/>
  <c r="O86" i="4" s="1"/>
  <c r="B86" i="4"/>
  <c r="R85" i="4"/>
  <c r="M85" i="4"/>
  <c r="O85" i="4" s="1"/>
  <c r="P85" i="4" s="1"/>
  <c r="B85" i="4"/>
  <c r="R84" i="4"/>
  <c r="M84" i="4"/>
  <c r="O84" i="4" s="1"/>
  <c r="B84" i="4"/>
  <c r="R83" i="4"/>
  <c r="M83" i="4"/>
  <c r="O83" i="4" s="1"/>
  <c r="B83" i="4"/>
  <c r="R82" i="4"/>
  <c r="M82" i="4"/>
  <c r="O82" i="4" s="1"/>
  <c r="B82" i="4"/>
  <c r="R81" i="4"/>
  <c r="M81" i="4"/>
  <c r="O81" i="4" s="1"/>
  <c r="B81" i="4"/>
  <c r="R80" i="4"/>
  <c r="M80" i="4"/>
  <c r="O80" i="4" s="1"/>
  <c r="B80" i="4"/>
  <c r="R79" i="4"/>
  <c r="M79" i="4"/>
  <c r="O79" i="4" s="1"/>
  <c r="P79" i="4" s="1"/>
  <c r="B79" i="4"/>
  <c r="R78" i="4"/>
  <c r="M78" i="4"/>
  <c r="O78" i="4" s="1"/>
  <c r="B78" i="4"/>
  <c r="R77" i="4"/>
  <c r="M77" i="4"/>
  <c r="O77" i="4" s="1"/>
  <c r="B77" i="4"/>
  <c r="R76" i="4"/>
  <c r="Q76" i="4"/>
  <c r="B76" i="4"/>
  <c r="R75" i="4"/>
  <c r="M75" i="4"/>
  <c r="O75" i="4" s="1"/>
  <c r="P75" i="4" s="1"/>
  <c r="B75" i="4"/>
  <c r="R74" i="4"/>
  <c r="Q74" i="4"/>
  <c r="M74" i="4"/>
  <c r="O74" i="4" s="1"/>
  <c r="B74" i="4"/>
  <c r="R73" i="4"/>
  <c r="Q73" i="4"/>
  <c r="M73" i="4"/>
  <c r="O73" i="4" s="1"/>
  <c r="P73" i="4" s="1"/>
  <c r="B73" i="4"/>
  <c r="R72" i="4"/>
  <c r="Q72" i="4"/>
  <c r="M72" i="4"/>
  <c r="O72" i="4" s="1"/>
  <c r="B72" i="4"/>
  <c r="R71" i="4"/>
  <c r="Q71" i="4"/>
  <c r="M71" i="4"/>
  <c r="O71" i="4" s="1"/>
  <c r="B71" i="4"/>
  <c r="R70" i="4"/>
  <c r="Q70" i="4"/>
  <c r="M70" i="4"/>
  <c r="O70" i="4" s="1"/>
  <c r="B70" i="4"/>
  <c r="R69" i="4"/>
  <c r="Q69" i="4"/>
  <c r="M69" i="4"/>
  <c r="O69" i="4" s="1"/>
  <c r="P69" i="4" s="1"/>
  <c r="B69" i="4"/>
  <c r="R68" i="4"/>
  <c r="Q68" i="4"/>
  <c r="M68" i="4"/>
  <c r="O68" i="4" s="1"/>
  <c r="B68" i="4"/>
  <c r="R67" i="4"/>
  <c r="Q67" i="4"/>
  <c r="M67" i="4"/>
  <c r="O67" i="4" s="1"/>
  <c r="P67" i="4" s="1"/>
  <c r="B67" i="4"/>
  <c r="R66" i="4"/>
  <c r="Q66" i="4"/>
  <c r="M66" i="4"/>
  <c r="O66" i="4" s="1"/>
  <c r="B66" i="4"/>
  <c r="R65" i="4"/>
  <c r="M65" i="4"/>
  <c r="O65" i="4" s="1"/>
  <c r="B65" i="4"/>
  <c r="R64" i="4"/>
  <c r="Q64" i="4"/>
  <c r="M64" i="4"/>
  <c r="O64" i="4" s="1"/>
  <c r="B64" i="4"/>
  <c r="R63" i="4"/>
  <c r="Q63" i="4"/>
  <c r="M63" i="4"/>
  <c r="O63" i="4" s="1"/>
  <c r="B63" i="4"/>
  <c r="R62" i="4"/>
  <c r="Q62" i="4"/>
  <c r="M62" i="4"/>
  <c r="O62" i="4" s="1"/>
  <c r="B62" i="4"/>
  <c r="R61" i="4"/>
  <c r="M61" i="4"/>
  <c r="O61" i="4" s="1"/>
  <c r="P61" i="4" s="1"/>
  <c r="B61" i="4"/>
  <c r="R60" i="4"/>
  <c r="Q60" i="4"/>
  <c r="M60" i="4"/>
  <c r="O60" i="4" s="1"/>
  <c r="B60" i="4"/>
  <c r="R59" i="4"/>
  <c r="M59" i="4"/>
  <c r="O59" i="4" s="1"/>
  <c r="P59" i="4" s="1"/>
  <c r="B59" i="4"/>
  <c r="R58" i="4"/>
  <c r="Q58" i="4"/>
  <c r="M58" i="4"/>
  <c r="O58" i="4" s="1"/>
  <c r="B58" i="4"/>
  <c r="R57" i="4"/>
  <c r="M57" i="4"/>
  <c r="O57" i="4" s="1"/>
  <c r="B57" i="4"/>
  <c r="R56" i="4"/>
  <c r="Q56" i="4"/>
  <c r="M56" i="4"/>
  <c r="O56" i="4" s="1"/>
  <c r="B56" i="4"/>
  <c r="R55" i="4"/>
  <c r="M55" i="4"/>
  <c r="O55" i="4" s="1"/>
  <c r="B55" i="4"/>
  <c r="R54" i="4"/>
  <c r="Q54" i="4"/>
  <c r="M54" i="4"/>
  <c r="O54" i="4" s="1"/>
  <c r="B54" i="4"/>
  <c r="R53" i="4"/>
  <c r="Q53" i="4"/>
  <c r="M53" i="4"/>
  <c r="O53" i="4" s="1"/>
  <c r="P53" i="4" s="1"/>
  <c r="B53" i="4"/>
  <c r="R52" i="4"/>
  <c r="Q52" i="4"/>
  <c r="M52" i="4"/>
  <c r="O52" i="4" s="1"/>
  <c r="B52" i="4"/>
  <c r="R51" i="4"/>
  <c r="Q51" i="4"/>
  <c r="M51" i="4"/>
  <c r="O51" i="4" s="1"/>
  <c r="B51" i="4"/>
  <c r="R50" i="4"/>
  <c r="Q50" i="4"/>
  <c r="M50" i="4"/>
  <c r="O50" i="4" s="1"/>
  <c r="B50" i="4"/>
  <c r="R49" i="4"/>
  <c r="M49" i="4"/>
  <c r="O49" i="4" s="1"/>
  <c r="P49" i="4" s="1"/>
  <c r="B49" i="4"/>
  <c r="R48" i="4"/>
  <c r="Q48" i="4"/>
  <c r="M48" i="4"/>
  <c r="O48" i="4" s="1"/>
  <c r="B48" i="4"/>
  <c r="R47" i="4"/>
  <c r="M47" i="4"/>
  <c r="O47" i="4" s="1"/>
  <c r="B47" i="4"/>
  <c r="R46" i="4"/>
  <c r="Q46" i="4"/>
  <c r="M46" i="4"/>
  <c r="O46" i="4" s="1"/>
  <c r="P46" i="4" s="1"/>
  <c r="B46" i="4"/>
  <c r="M45" i="4"/>
  <c r="O45" i="4" s="1"/>
  <c r="B45" i="4"/>
  <c r="R44" i="4"/>
  <c r="Q44" i="4"/>
  <c r="M44" i="4"/>
  <c r="O44" i="4" s="1"/>
  <c r="B44" i="4"/>
  <c r="R43" i="4"/>
  <c r="M43" i="4"/>
  <c r="O43" i="4" s="1"/>
  <c r="B43" i="4"/>
  <c r="R42" i="4"/>
  <c r="Q42" i="4"/>
  <c r="M42" i="4"/>
  <c r="O42" i="4" s="1"/>
  <c r="B42" i="4"/>
  <c r="R41" i="4"/>
  <c r="M41" i="4"/>
  <c r="O41" i="4" s="1"/>
  <c r="B41" i="4"/>
  <c r="R40" i="4"/>
  <c r="Q40" i="4"/>
  <c r="M40" i="4"/>
  <c r="O40" i="4" s="1"/>
  <c r="B40" i="4"/>
  <c r="R39" i="4"/>
  <c r="M39" i="4"/>
  <c r="O39" i="4" s="1"/>
  <c r="P39" i="4" s="1"/>
  <c r="B39" i="4"/>
  <c r="R38" i="4"/>
  <c r="Q38" i="4"/>
  <c r="M38" i="4"/>
  <c r="O38" i="4" s="1"/>
  <c r="B38" i="4"/>
  <c r="R37" i="4"/>
  <c r="Q37" i="4"/>
  <c r="M37" i="4"/>
  <c r="O37" i="4" s="1"/>
  <c r="B37" i="4"/>
  <c r="R36" i="4"/>
  <c r="Q36" i="4"/>
  <c r="M36" i="4"/>
  <c r="O36" i="4" s="1"/>
  <c r="B36" i="4"/>
  <c r="R35" i="4"/>
  <c r="Q35" i="4"/>
  <c r="M35" i="4"/>
  <c r="O35" i="4" s="1"/>
  <c r="B35" i="4"/>
  <c r="R34" i="4"/>
  <c r="Q34" i="4"/>
  <c r="M34" i="4"/>
  <c r="O34" i="4" s="1"/>
  <c r="P34" i="4" s="1"/>
  <c r="B34" i="4"/>
  <c r="M33" i="4"/>
  <c r="O33" i="4" s="1"/>
  <c r="B33" i="4"/>
  <c r="R32" i="4"/>
  <c r="Q32" i="4"/>
  <c r="M32" i="4"/>
  <c r="O32" i="4" s="1"/>
  <c r="B32" i="4"/>
  <c r="R31" i="4"/>
  <c r="M31" i="4"/>
  <c r="O31" i="4" s="1"/>
  <c r="B31" i="4"/>
  <c r="R30" i="4"/>
  <c r="Q30" i="4"/>
  <c r="M30" i="4"/>
  <c r="O30" i="4" s="1"/>
  <c r="B30" i="4"/>
  <c r="R29" i="4"/>
  <c r="M29" i="4"/>
  <c r="O29" i="4" s="1"/>
  <c r="B29" i="4"/>
  <c r="R28" i="4"/>
  <c r="Q28" i="4"/>
  <c r="M28" i="4"/>
  <c r="O28" i="4" s="1"/>
  <c r="B28" i="4"/>
  <c r="M27" i="4"/>
  <c r="O27" i="4" s="1"/>
  <c r="B27" i="4"/>
  <c r="R26" i="4"/>
  <c r="Q26" i="4"/>
  <c r="M26" i="4"/>
  <c r="O26" i="4" s="1"/>
  <c r="B26" i="4"/>
  <c r="M25" i="4"/>
  <c r="O25" i="4" s="1"/>
  <c r="P25" i="4" s="1"/>
  <c r="B25" i="4"/>
  <c r="R24" i="4"/>
  <c r="Q24" i="4"/>
  <c r="M24" i="4"/>
  <c r="O24" i="4" s="1"/>
  <c r="B24" i="4"/>
  <c r="M23" i="4"/>
  <c r="O23" i="4" s="1"/>
  <c r="B23" i="4"/>
  <c r="R22" i="4"/>
  <c r="Q22" i="4"/>
  <c r="M22" i="4"/>
  <c r="O22" i="4" s="1"/>
  <c r="B22" i="4"/>
  <c r="M21" i="4"/>
  <c r="O21" i="4" s="1"/>
  <c r="B21" i="4"/>
  <c r="R20" i="4"/>
  <c r="Q20" i="4"/>
  <c r="M20" i="4"/>
  <c r="O20" i="4" s="1"/>
  <c r="B20" i="4"/>
  <c r="R19" i="4"/>
  <c r="Q19" i="4"/>
  <c r="M19" i="4"/>
  <c r="O19" i="4" s="1"/>
  <c r="B19" i="4"/>
  <c r="R18" i="4"/>
  <c r="Q18" i="4"/>
  <c r="M18" i="4"/>
  <c r="O18" i="4" s="1"/>
  <c r="B18" i="4"/>
  <c r="R17" i="4"/>
  <c r="Q17" i="4"/>
  <c r="M17" i="4"/>
  <c r="O17" i="4" s="1"/>
  <c r="B17" i="4"/>
  <c r="R16" i="4"/>
  <c r="Q16" i="4"/>
  <c r="M16" i="4"/>
  <c r="O16" i="4" s="1"/>
  <c r="B16" i="4"/>
  <c r="R15" i="4"/>
  <c r="Q15" i="4"/>
  <c r="M15" i="4"/>
  <c r="O15" i="4" s="1"/>
  <c r="B15" i="4"/>
  <c r="R14" i="4"/>
  <c r="Q14" i="4"/>
  <c r="M14" i="4"/>
  <c r="O14" i="4" s="1"/>
  <c r="B14" i="4"/>
  <c r="R13" i="4"/>
  <c r="Q13" i="4"/>
  <c r="M13" i="4"/>
  <c r="O13" i="4" s="1"/>
  <c r="B13" i="4"/>
  <c r="R12" i="4"/>
  <c r="Q12" i="4"/>
  <c r="M12" i="4"/>
  <c r="O12" i="4" s="1"/>
  <c r="B12" i="4"/>
  <c r="R11" i="4"/>
  <c r="M11" i="4"/>
  <c r="O11" i="4" s="1"/>
  <c r="B11" i="4"/>
  <c r="R10" i="4"/>
  <c r="Q10" i="4"/>
  <c r="M10" i="4"/>
  <c r="O10" i="4" s="1"/>
  <c r="B10" i="4"/>
  <c r="M9" i="4"/>
  <c r="O9" i="4" s="1"/>
  <c r="B9" i="4"/>
  <c r="R8" i="4"/>
  <c r="Q8" i="4"/>
  <c r="M8" i="4"/>
  <c r="O8" i="4" s="1"/>
  <c r="B8" i="4"/>
  <c r="R7" i="4"/>
  <c r="Q7" i="4"/>
  <c r="M7" i="4"/>
  <c r="O7" i="4" s="1"/>
  <c r="B7" i="4"/>
  <c r="R6" i="4"/>
  <c r="Q6" i="4"/>
  <c r="M6" i="4"/>
  <c r="O6" i="4" s="1"/>
  <c r="B6" i="4"/>
  <c r="M5" i="4"/>
  <c r="O5" i="4" s="1"/>
  <c r="B5" i="4"/>
  <c r="R4" i="4"/>
  <c r="Q4" i="4"/>
  <c r="M4" i="4"/>
  <c r="O4" i="4" s="1"/>
  <c r="B4" i="4"/>
  <c r="M3" i="4"/>
  <c r="O3" i="4" s="1"/>
  <c r="B3" i="4"/>
  <c r="F115" i="3"/>
  <c r="F112" i="3"/>
  <c r="I112" i="3" s="1"/>
  <c r="E112" i="3"/>
  <c r="F106" i="3"/>
  <c r="I106" i="3" s="1"/>
  <c r="E106" i="3"/>
  <c r="H103" i="3"/>
  <c r="G103" i="3"/>
  <c r="F103" i="3"/>
  <c r="E103" i="3"/>
  <c r="D103" i="3"/>
  <c r="C103" i="3"/>
  <c r="B103" i="3"/>
  <c r="H102" i="3"/>
  <c r="G102" i="3"/>
  <c r="F102" i="3"/>
  <c r="E102" i="3"/>
  <c r="D102" i="3"/>
  <c r="C102" i="3"/>
  <c r="B102" i="3"/>
  <c r="H101" i="3"/>
  <c r="G101" i="3"/>
  <c r="F101" i="3"/>
  <c r="E101" i="3"/>
  <c r="D101" i="3"/>
  <c r="C101" i="3"/>
  <c r="B101" i="3"/>
  <c r="H100" i="3"/>
  <c r="G100" i="3"/>
  <c r="F100" i="3"/>
  <c r="E100" i="3"/>
  <c r="D100" i="3"/>
  <c r="C100" i="3"/>
  <c r="B100" i="3"/>
  <c r="H99" i="3"/>
  <c r="G99" i="3"/>
  <c r="F99" i="3"/>
  <c r="E99" i="3"/>
  <c r="D99" i="3"/>
  <c r="C99" i="3"/>
  <c r="B99" i="3"/>
  <c r="H98" i="3"/>
  <c r="G98" i="3"/>
  <c r="F98" i="3"/>
  <c r="E98" i="3"/>
  <c r="D98" i="3"/>
  <c r="C98" i="3"/>
  <c r="B98" i="3"/>
  <c r="H97" i="3"/>
  <c r="G97" i="3"/>
  <c r="F97" i="3"/>
  <c r="E97" i="3"/>
  <c r="D97" i="3"/>
  <c r="C97" i="3"/>
  <c r="B97" i="3"/>
  <c r="H96" i="3"/>
  <c r="G96" i="3"/>
  <c r="F96" i="3"/>
  <c r="E96" i="3"/>
  <c r="D96" i="3"/>
  <c r="C96" i="3"/>
  <c r="B96" i="3"/>
  <c r="F95" i="3"/>
  <c r="E95" i="3"/>
  <c r="H94" i="3"/>
  <c r="G94" i="3"/>
  <c r="F94" i="3"/>
  <c r="E94" i="3"/>
  <c r="D94" i="3"/>
  <c r="C94" i="3"/>
  <c r="B94" i="3"/>
  <c r="H93" i="3"/>
  <c r="G93" i="3"/>
  <c r="F93" i="3"/>
  <c r="E93" i="3"/>
  <c r="D93" i="3"/>
  <c r="C93" i="3"/>
  <c r="B93" i="3"/>
  <c r="H92" i="3"/>
  <c r="G92" i="3"/>
  <c r="F92" i="3"/>
  <c r="E92" i="3"/>
  <c r="D92" i="3"/>
  <c r="C92" i="3"/>
  <c r="B92" i="3"/>
  <c r="H91" i="3"/>
  <c r="G91" i="3"/>
  <c r="F91" i="3"/>
  <c r="E91" i="3"/>
  <c r="D91" i="3"/>
  <c r="C91" i="3"/>
  <c r="B91" i="3"/>
  <c r="H90" i="3"/>
  <c r="G90" i="3"/>
  <c r="F90" i="3"/>
  <c r="E90" i="3"/>
  <c r="D90" i="3"/>
  <c r="C90" i="3"/>
  <c r="B90" i="3"/>
  <c r="H89" i="3"/>
  <c r="G89" i="3"/>
  <c r="F89" i="3"/>
  <c r="E89" i="3"/>
  <c r="D89" i="3"/>
  <c r="C89" i="3"/>
  <c r="B89" i="3"/>
  <c r="H88" i="3"/>
  <c r="G88" i="3"/>
  <c r="F88" i="3"/>
  <c r="E88" i="3"/>
  <c r="D88" i="3"/>
  <c r="C88" i="3"/>
  <c r="B88" i="3"/>
  <c r="H87" i="3"/>
  <c r="G87" i="3"/>
  <c r="F87" i="3"/>
  <c r="E87" i="3"/>
  <c r="D87" i="3"/>
  <c r="C87" i="3"/>
  <c r="B87" i="3"/>
  <c r="H86" i="3"/>
  <c r="G86" i="3"/>
  <c r="F86" i="3"/>
  <c r="E86" i="3"/>
  <c r="D86" i="3"/>
  <c r="C86" i="3"/>
  <c r="B86" i="3"/>
  <c r="H85" i="3"/>
  <c r="G85" i="3"/>
  <c r="F85" i="3"/>
  <c r="E85" i="3"/>
  <c r="D85" i="3"/>
  <c r="C85" i="3"/>
  <c r="B85" i="3"/>
  <c r="H84" i="3"/>
  <c r="G84" i="3"/>
  <c r="F84" i="3"/>
  <c r="E84" i="3"/>
  <c r="D84" i="3"/>
  <c r="C84" i="3"/>
  <c r="B84" i="3"/>
  <c r="H83" i="3"/>
  <c r="G83" i="3"/>
  <c r="F83" i="3"/>
  <c r="E83" i="3"/>
  <c r="D83" i="3"/>
  <c r="C83" i="3"/>
  <c r="B83" i="3"/>
  <c r="H82" i="3"/>
  <c r="G82" i="3"/>
  <c r="F82" i="3"/>
  <c r="E82" i="3"/>
  <c r="D82" i="3"/>
  <c r="C82" i="3"/>
  <c r="B82" i="3"/>
  <c r="H81" i="3"/>
  <c r="G81" i="3"/>
  <c r="F81" i="3"/>
  <c r="E81" i="3"/>
  <c r="D81" i="3"/>
  <c r="C81" i="3"/>
  <c r="B81" i="3"/>
  <c r="H80" i="3"/>
  <c r="G80" i="3"/>
  <c r="F80" i="3"/>
  <c r="E80" i="3"/>
  <c r="D80" i="3"/>
  <c r="C80" i="3"/>
  <c r="B80" i="3"/>
  <c r="H79" i="3"/>
  <c r="G79" i="3"/>
  <c r="F79" i="3"/>
  <c r="E79" i="3"/>
  <c r="D79" i="3"/>
  <c r="C79" i="3"/>
  <c r="B79" i="3"/>
  <c r="H78" i="3"/>
  <c r="F78" i="3"/>
  <c r="E78" i="3"/>
  <c r="D78" i="3"/>
  <c r="C78" i="3"/>
  <c r="B78" i="3"/>
  <c r="H77" i="3"/>
  <c r="F77" i="3"/>
  <c r="E77" i="3"/>
  <c r="D77" i="3"/>
  <c r="C77" i="3"/>
  <c r="B77" i="3"/>
  <c r="H76" i="3"/>
  <c r="G76" i="3"/>
  <c r="F76" i="3"/>
  <c r="E76" i="3"/>
  <c r="D76" i="3"/>
  <c r="C76" i="3"/>
  <c r="B76" i="3"/>
  <c r="H75" i="3"/>
  <c r="G75" i="3"/>
  <c r="F75" i="3"/>
  <c r="E75" i="3"/>
  <c r="D75" i="3"/>
  <c r="C75" i="3"/>
  <c r="B75" i="3"/>
  <c r="H74" i="3"/>
  <c r="G74" i="3"/>
  <c r="F74" i="3"/>
  <c r="E74" i="3"/>
  <c r="D74" i="3"/>
  <c r="C74" i="3"/>
  <c r="B74" i="3"/>
  <c r="H73" i="3"/>
  <c r="G73" i="3"/>
  <c r="F73" i="3"/>
  <c r="E73" i="3"/>
  <c r="D73" i="3"/>
  <c r="C73" i="3"/>
  <c r="B73" i="3"/>
  <c r="H72" i="3"/>
  <c r="G72" i="3"/>
  <c r="F72" i="3"/>
  <c r="E72" i="3"/>
  <c r="D72" i="3"/>
  <c r="C72" i="3"/>
  <c r="B72" i="3"/>
  <c r="H71" i="3"/>
  <c r="G71" i="3"/>
  <c r="F71" i="3"/>
  <c r="E71" i="3"/>
  <c r="D71" i="3"/>
  <c r="C71" i="3"/>
  <c r="B71" i="3"/>
  <c r="H70" i="3"/>
  <c r="G70" i="3"/>
  <c r="F70" i="3"/>
  <c r="E70" i="3"/>
  <c r="D70" i="3"/>
  <c r="C70" i="3"/>
  <c r="B70" i="3"/>
  <c r="H69" i="3"/>
  <c r="G69" i="3"/>
  <c r="F69" i="3"/>
  <c r="E69" i="3"/>
  <c r="D69" i="3"/>
  <c r="C69" i="3"/>
  <c r="B69" i="3"/>
  <c r="H68" i="3"/>
  <c r="G68" i="3"/>
  <c r="F68" i="3"/>
  <c r="E68" i="3"/>
  <c r="D68" i="3"/>
  <c r="C68" i="3"/>
  <c r="B68" i="3"/>
  <c r="H67" i="3"/>
  <c r="G67" i="3"/>
  <c r="F67" i="3"/>
  <c r="E67" i="3"/>
  <c r="D67" i="3"/>
  <c r="C67" i="3"/>
  <c r="B67" i="3"/>
  <c r="H66" i="3"/>
  <c r="G66" i="3"/>
  <c r="F66" i="3"/>
  <c r="E66" i="3"/>
  <c r="D66" i="3"/>
  <c r="C66" i="3"/>
  <c r="B66" i="3"/>
  <c r="H65" i="3"/>
  <c r="G65" i="3"/>
  <c r="F65" i="3"/>
  <c r="E65" i="3"/>
  <c r="D65" i="3"/>
  <c r="C65" i="3"/>
  <c r="B65" i="3"/>
  <c r="H64" i="3"/>
  <c r="G64" i="3"/>
  <c r="F64" i="3"/>
  <c r="E64" i="3"/>
  <c r="D64" i="3"/>
  <c r="C64" i="3"/>
  <c r="B64" i="3"/>
  <c r="H63" i="3"/>
  <c r="G63" i="3"/>
  <c r="F63" i="3"/>
  <c r="E63" i="3"/>
  <c r="D63" i="3"/>
  <c r="C63" i="3"/>
  <c r="B63" i="3"/>
  <c r="H62" i="3"/>
  <c r="G62" i="3"/>
  <c r="F62" i="3"/>
  <c r="E62" i="3"/>
  <c r="D62" i="3"/>
  <c r="C62" i="3"/>
  <c r="B62" i="3"/>
  <c r="H61" i="3"/>
  <c r="G61" i="3"/>
  <c r="F61" i="3"/>
  <c r="E61" i="3"/>
  <c r="D61" i="3"/>
  <c r="C61" i="3"/>
  <c r="B61" i="3"/>
  <c r="H60" i="3"/>
  <c r="G60" i="3"/>
  <c r="F60" i="3"/>
  <c r="E60" i="3"/>
  <c r="D60" i="3"/>
  <c r="C60" i="3"/>
  <c r="B60" i="3"/>
  <c r="H59" i="3"/>
  <c r="G59" i="3"/>
  <c r="F59" i="3"/>
  <c r="E59" i="3"/>
  <c r="D59" i="3"/>
  <c r="C59" i="3"/>
  <c r="B59" i="3"/>
  <c r="H58" i="3"/>
  <c r="G58" i="3"/>
  <c r="F58" i="3"/>
  <c r="E58" i="3"/>
  <c r="D58" i="3"/>
  <c r="C58" i="3"/>
  <c r="B58" i="3"/>
  <c r="H57" i="3"/>
  <c r="G57" i="3"/>
  <c r="F57" i="3"/>
  <c r="E57" i="3"/>
  <c r="D57" i="3"/>
  <c r="C57" i="3"/>
  <c r="B57" i="3"/>
  <c r="H56" i="3"/>
  <c r="G56" i="3"/>
  <c r="F56" i="3"/>
  <c r="E56" i="3"/>
  <c r="D56" i="3"/>
  <c r="C56" i="3"/>
  <c r="B56" i="3"/>
  <c r="H55" i="3"/>
  <c r="F55" i="3"/>
  <c r="E55" i="3"/>
  <c r="D55" i="3"/>
  <c r="C55" i="3"/>
  <c r="B55" i="3"/>
  <c r="H54" i="3"/>
  <c r="G54" i="3"/>
  <c r="F54" i="3"/>
  <c r="E54" i="3"/>
  <c r="D54" i="3"/>
  <c r="C54" i="3"/>
  <c r="B54" i="3"/>
  <c r="H53" i="3"/>
  <c r="G53" i="3"/>
  <c r="F53" i="3"/>
  <c r="E53" i="3"/>
  <c r="D53" i="3"/>
  <c r="C53" i="3"/>
  <c r="B53" i="3"/>
  <c r="H52" i="3"/>
  <c r="G52" i="3"/>
  <c r="F52" i="3"/>
  <c r="E52" i="3"/>
  <c r="D52" i="3"/>
  <c r="C52" i="3"/>
  <c r="B52" i="3"/>
  <c r="H51" i="3"/>
  <c r="G51" i="3"/>
  <c r="F51" i="3"/>
  <c r="E51" i="3"/>
  <c r="D51" i="3"/>
  <c r="C51" i="3"/>
  <c r="B51" i="3"/>
  <c r="H50" i="3"/>
  <c r="G50" i="3"/>
  <c r="F50" i="3"/>
  <c r="E50" i="3"/>
  <c r="D50" i="3"/>
  <c r="C50" i="3"/>
  <c r="B50" i="3"/>
  <c r="H49" i="3"/>
  <c r="G49" i="3"/>
  <c r="F49" i="3"/>
  <c r="E49" i="3"/>
  <c r="D49" i="3"/>
  <c r="C49" i="3"/>
  <c r="B49" i="3"/>
  <c r="H48" i="3"/>
  <c r="G48" i="3"/>
  <c r="F48" i="3"/>
  <c r="E48" i="3"/>
  <c r="D48" i="3"/>
  <c r="C48" i="3"/>
  <c r="B48" i="3"/>
  <c r="H47" i="3"/>
  <c r="G47" i="3"/>
  <c r="F47" i="3"/>
  <c r="E47" i="3"/>
  <c r="D47" i="3"/>
  <c r="C47" i="3"/>
  <c r="B47" i="3"/>
  <c r="H46" i="3"/>
  <c r="G46" i="3"/>
  <c r="F46" i="3"/>
  <c r="E46" i="3"/>
  <c r="D46" i="3"/>
  <c r="C46" i="3"/>
  <c r="B46" i="3"/>
  <c r="F45" i="3"/>
  <c r="E45" i="3"/>
  <c r="H44" i="3"/>
  <c r="G44" i="3"/>
  <c r="F44" i="3"/>
  <c r="E44" i="3"/>
  <c r="D44" i="3"/>
  <c r="C44" i="3"/>
  <c r="B44" i="3"/>
  <c r="H43" i="3"/>
  <c r="G43" i="3"/>
  <c r="F43" i="3"/>
  <c r="E43" i="3"/>
  <c r="D43" i="3"/>
  <c r="C43" i="3"/>
  <c r="B43" i="3"/>
  <c r="H42" i="3"/>
  <c r="G42" i="3"/>
  <c r="F42" i="3"/>
  <c r="E42" i="3"/>
  <c r="D42" i="3"/>
  <c r="C42" i="3"/>
  <c r="B42" i="3"/>
  <c r="H41" i="3"/>
  <c r="G41" i="3"/>
  <c r="F41" i="3"/>
  <c r="E41" i="3"/>
  <c r="D41" i="3"/>
  <c r="C41" i="3"/>
  <c r="B41" i="3"/>
  <c r="H40" i="3"/>
  <c r="G40" i="3"/>
  <c r="F40" i="3"/>
  <c r="E40" i="3"/>
  <c r="D40" i="3"/>
  <c r="C40" i="3"/>
  <c r="B40" i="3"/>
  <c r="H39" i="3"/>
  <c r="G39" i="3"/>
  <c r="F39" i="3"/>
  <c r="E39" i="3"/>
  <c r="D39" i="3"/>
  <c r="C39" i="3"/>
  <c r="B39" i="3"/>
  <c r="H38" i="3"/>
  <c r="G38" i="3"/>
  <c r="F38" i="3"/>
  <c r="E38" i="3"/>
  <c r="D38" i="3"/>
  <c r="C38" i="3"/>
  <c r="B38" i="3"/>
  <c r="H37" i="3"/>
  <c r="G37" i="3"/>
  <c r="F37" i="3"/>
  <c r="E37" i="3"/>
  <c r="D37" i="3"/>
  <c r="C37" i="3"/>
  <c r="B37" i="3"/>
  <c r="H36" i="3"/>
  <c r="G36" i="3"/>
  <c r="F36" i="3"/>
  <c r="E36" i="3"/>
  <c r="D36" i="3"/>
  <c r="C36" i="3"/>
  <c r="B36" i="3"/>
  <c r="H35" i="3"/>
  <c r="G35" i="3"/>
  <c r="F35" i="3"/>
  <c r="E35" i="3"/>
  <c r="D35" i="3"/>
  <c r="C35" i="3"/>
  <c r="B35" i="3"/>
  <c r="H34" i="3"/>
  <c r="G34" i="3"/>
  <c r="F34" i="3"/>
  <c r="E34" i="3"/>
  <c r="D34" i="3"/>
  <c r="C34" i="3"/>
  <c r="B34" i="3"/>
  <c r="H33" i="3"/>
  <c r="G33" i="3"/>
  <c r="F33" i="3"/>
  <c r="E33" i="3"/>
  <c r="D33" i="3"/>
  <c r="C33" i="3"/>
  <c r="B33" i="3"/>
  <c r="H32" i="3"/>
  <c r="G32" i="3"/>
  <c r="F32" i="3"/>
  <c r="E32" i="3"/>
  <c r="D32" i="3"/>
  <c r="C32" i="3"/>
  <c r="B32" i="3"/>
  <c r="H31" i="3"/>
  <c r="G31" i="3"/>
  <c r="F31" i="3"/>
  <c r="E31" i="3"/>
  <c r="D31" i="3"/>
  <c r="C31" i="3"/>
  <c r="B31" i="3"/>
  <c r="F30" i="3"/>
  <c r="E30" i="3"/>
  <c r="H29" i="3"/>
  <c r="G29" i="3"/>
  <c r="F29" i="3"/>
  <c r="E29" i="3"/>
  <c r="D29" i="3"/>
  <c r="C29" i="3"/>
  <c r="B29" i="3"/>
  <c r="H28" i="3"/>
  <c r="G28" i="3"/>
  <c r="F28" i="3"/>
  <c r="E28" i="3"/>
  <c r="D28" i="3"/>
  <c r="C28" i="3"/>
  <c r="B28" i="3"/>
  <c r="H27" i="3"/>
  <c r="G27" i="3"/>
  <c r="F27" i="3"/>
  <c r="E27" i="3"/>
  <c r="D27" i="3"/>
  <c r="C27" i="3"/>
  <c r="B27" i="3"/>
  <c r="H26" i="3"/>
  <c r="G26" i="3"/>
  <c r="F26" i="3"/>
  <c r="E26" i="3"/>
  <c r="D26" i="3"/>
  <c r="C26" i="3"/>
  <c r="B26" i="3"/>
  <c r="F25" i="3"/>
  <c r="E25" i="3"/>
  <c r="H24" i="3"/>
  <c r="G24" i="3"/>
  <c r="F24" i="3"/>
  <c r="E24" i="3"/>
  <c r="D24" i="3"/>
  <c r="C24" i="3"/>
  <c r="B24" i="3"/>
  <c r="H23" i="3"/>
  <c r="G23" i="3"/>
  <c r="F23" i="3"/>
  <c r="E23" i="3"/>
  <c r="D23" i="3"/>
  <c r="C23" i="3"/>
  <c r="B23" i="3"/>
  <c r="H22" i="3"/>
  <c r="G22" i="3"/>
  <c r="F22" i="3"/>
  <c r="E22" i="3"/>
  <c r="D22" i="3"/>
  <c r="C22" i="3"/>
  <c r="B22" i="3"/>
  <c r="H21" i="3"/>
  <c r="G21" i="3"/>
  <c r="F21" i="3"/>
  <c r="E21" i="3"/>
  <c r="D21" i="3"/>
  <c r="C21" i="3"/>
  <c r="B21" i="3"/>
  <c r="H20" i="3"/>
  <c r="G20" i="3"/>
  <c r="F20" i="3"/>
  <c r="E20" i="3"/>
  <c r="D20" i="3"/>
  <c r="C20" i="3"/>
  <c r="B20" i="3"/>
  <c r="H19" i="3"/>
  <c r="G19" i="3"/>
  <c r="F19" i="3"/>
  <c r="E19" i="3"/>
  <c r="D19" i="3"/>
  <c r="C19" i="3"/>
  <c r="B19" i="3"/>
  <c r="H18" i="3"/>
  <c r="G18" i="3"/>
  <c r="F18" i="3"/>
  <c r="E18" i="3"/>
  <c r="D18" i="3"/>
  <c r="C18" i="3"/>
  <c r="B18" i="3"/>
  <c r="H17" i="3"/>
  <c r="G17" i="3"/>
  <c r="F17" i="3"/>
  <c r="E17" i="3"/>
  <c r="D17" i="3"/>
  <c r="C17" i="3"/>
  <c r="B17" i="3"/>
  <c r="F16" i="3"/>
  <c r="E16" i="3"/>
  <c r="H15" i="3"/>
  <c r="G15" i="3"/>
  <c r="F15" i="3"/>
  <c r="E15" i="3"/>
  <c r="D15" i="3"/>
  <c r="C15" i="3"/>
  <c r="B15" i="3"/>
  <c r="H14" i="3"/>
  <c r="G14" i="3"/>
  <c r="F14" i="3"/>
  <c r="E14" i="3"/>
  <c r="D14" i="3"/>
  <c r="C14" i="3"/>
  <c r="B14" i="3"/>
  <c r="H13" i="3"/>
  <c r="G13" i="3"/>
  <c r="F13" i="3"/>
  <c r="E13" i="3"/>
  <c r="D13" i="3"/>
  <c r="C13" i="3"/>
  <c r="B13" i="3"/>
  <c r="H12" i="3"/>
  <c r="G12" i="3"/>
  <c r="F12" i="3"/>
  <c r="E12" i="3"/>
  <c r="D12" i="3"/>
  <c r="C12" i="3"/>
  <c r="B12" i="3"/>
  <c r="F11" i="3"/>
  <c r="E11" i="3"/>
  <c r="H10" i="3"/>
  <c r="G10" i="3"/>
  <c r="F10" i="3"/>
  <c r="E10" i="3"/>
  <c r="D10" i="3"/>
  <c r="C10" i="3"/>
  <c r="B10" i="3"/>
  <c r="H9" i="3"/>
  <c r="G9" i="3"/>
  <c r="F9" i="3"/>
  <c r="E9" i="3"/>
  <c r="D9" i="3"/>
  <c r="C9" i="3"/>
  <c r="B9" i="3"/>
  <c r="H8" i="3"/>
  <c r="G8" i="3"/>
  <c r="F8" i="3"/>
  <c r="E8" i="3"/>
  <c r="D8" i="3"/>
  <c r="C8" i="3"/>
  <c r="B8" i="3"/>
  <c r="H7" i="3"/>
  <c r="G7" i="3"/>
  <c r="F7" i="3"/>
  <c r="E7" i="3"/>
  <c r="D7" i="3"/>
  <c r="C7" i="3"/>
  <c r="B7" i="3"/>
  <c r="F6" i="3"/>
  <c r="E6" i="3"/>
  <c r="F115" i="2"/>
  <c r="E115" i="2"/>
  <c r="H114" i="2"/>
  <c r="G114" i="2"/>
  <c r="F114" i="2"/>
  <c r="E114" i="2"/>
  <c r="D114" i="2"/>
  <c r="C114" i="2"/>
  <c r="B114" i="2"/>
  <c r="H113" i="2"/>
  <c r="G113" i="2"/>
  <c r="F113" i="2"/>
  <c r="E113" i="2"/>
  <c r="D113" i="2"/>
  <c r="C113" i="2"/>
  <c r="B113" i="2"/>
  <c r="F112" i="2"/>
  <c r="E112" i="2"/>
  <c r="H111" i="2"/>
  <c r="G111" i="2"/>
  <c r="F111" i="2"/>
  <c r="E111" i="2"/>
  <c r="D111" i="2"/>
  <c r="C111" i="2"/>
  <c r="B111" i="2"/>
  <c r="H110" i="2"/>
  <c r="G110" i="2"/>
  <c r="F110" i="2"/>
  <c r="E110" i="2"/>
  <c r="D110" i="2"/>
  <c r="C110" i="2"/>
  <c r="B110" i="2"/>
  <c r="H109" i="2"/>
  <c r="G109" i="2"/>
  <c r="F109" i="2"/>
  <c r="E109" i="2"/>
  <c r="D109" i="2"/>
  <c r="C109" i="2"/>
  <c r="B109" i="2"/>
  <c r="H108" i="2"/>
  <c r="G108" i="2"/>
  <c r="F108" i="2"/>
  <c r="E108" i="2"/>
  <c r="D108" i="2"/>
  <c r="C108" i="2"/>
  <c r="B108" i="2"/>
  <c r="H107" i="2"/>
  <c r="G107" i="2"/>
  <c r="F107" i="2"/>
  <c r="E107" i="2"/>
  <c r="D107" i="2"/>
  <c r="C107" i="2"/>
  <c r="B107" i="2"/>
  <c r="F106" i="2"/>
  <c r="E106" i="2"/>
  <c r="H105" i="2"/>
  <c r="G105" i="2"/>
  <c r="F105" i="2"/>
  <c r="E105" i="2"/>
  <c r="D105" i="2"/>
  <c r="C105" i="2"/>
  <c r="B105" i="2"/>
  <c r="H104" i="2"/>
  <c r="G104" i="2"/>
  <c r="F104" i="2"/>
  <c r="E104" i="2"/>
  <c r="D104" i="2"/>
  <c r="C104" i="2"/>
  <c r="B104" i="2"/>
  <c r="H103" i="2"/>
  <c r="G103" i="2"/>
  <c r="F103" i="2"/>
  <c r="E103" i="2"/>
  <c r="D103" i="2"/>
  <c r="C103" i="2"/>
  <c r="B103" i="2"/>
  <c r="H102" i="2"/>
  <c r="G102" i="2"/>
  <c r="F102" i="2"/>
  <c r="E102" i="2"/>
  <c r="D102" i="2"/>
  <c r="C102" i="2"/>
  <c r="B102" i="2"/>
  <c r="H101" i="2"/>
  <c r="G101" i="2"/>
  <c r="F101" i="2"/>
  <c r="E101" i="2"/>
  <c r="D101" i="2"/>
  <c r="C101" i="2"/>
  <c r="B101" i="2"/>
  <c r="H100" i="2"/>
  <c r="G100" i="2"/>
  <c r="F100" i="2"/>
  <c r="E100" i="2"/>
  <c r="D100" i="2"/>
  <c r="C100" i="2"/>
  <c r="B100" i="2"/>
  <c r="H99" i="2"/>
  <c r="G99" i="2"/>
  <c r="F99" i="2"/>
  <c r="E99" i="2"/>
  <c r="D99" i="2"/>
  <c r="C99" i="2"/>
  <c r="B99" i="2"/>
  <c r="H98" i="2"/>
  <c r="G98" i="2"/>
  <c r="F98" i="2"/>
  <c r="E98" i="2"/>
  <c r="D98" i="2"/>
  <c r="C98" i="2"/>
  <c r="B98" i="2"/>
  <c r="H97" i="2"/>
  <c r="G97" i="2"/>
  <c r="F97" i="2"/>
  <c r="E97" i="2"/>
  <c r="D97" i="2"/>
  <c r="C97" i="2"/>
  <c r="B97" i="2"/>
  <c r="H96" i="2"/>
  <c r="G96" i="2"/>
  <c r="F96" i="2"/>
  <c r="E96" i="2"/>
  <c r="D96" i="2"/>
  <c r="C96" i="2"/>
  <c r="B96" i="2"/>
  <c r="F95" i="2"/>
  <c r="E95" i="2"/>
  <c r="H94" i="2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H92" i="2"/>
  <c r="G92" i="2"/>
  <c r="F92" i="2"/>
  <c r="E92" i="2"/>
  <c r="D92" i="2"/>
  <c r="C92" i="2"/>
  <c r="B92" i="2"/>
  <c r="H91" i="2"/>
  <c r="G91" i="2"/>
  <c r="F91" i="2"/>
  <c r="E91" i="2"/>
  <c r="D91" i="2"/>
  <c r="C91" i="2"/>
  <c r="B91" i="2"/>
  <c r="H90" i="2"/>
  <c r="G90" i="2"/>
  <c r="F90" i="2"/>
  <c r="E90" i="2"/>
  <c r="D90" i="2"/>
  <c r="C90" i="2"/>
  <c r="B90" i="2"/>
  <c r="H89" i="2"/>
  <c r="G89" i="2"/>
  <c r="F89" i="2"/>
  <c r="E89" i="2"/>
  <c r="D89" i="2"/>
  <c r="C89" i="2"/>
  <c r="B89" i="2"/>
  <c r="H88" i="2"/>
  <c r="G88" i="2"/>
  <c r="F88" i="2"/>
  <c r="E88" i="2"/>
  <c r="D88" i="2"/>
  <c r="C88" i="2"/>
  <c r="B88" i="2"/>
  <c r="H87" i="2"/>
  <c r="G87" i="2"/>
  <c r="F87" i="2"/>
  <c r="E87" i="2"/>
  <c r="D87" i="2"/>
  <c r="C87" i="2"/>
  <c r="B87" i="2"/>
  <c r="H86" i="2"/>
  <c r="G86" i="2"/>
  <c r="F86" i="2"/>
  <c r="E86" i="2"/>
  <c r="D86" i="2"/>
  <c r="C86" i="2"/>
  <c r="B86" i="2"/>
  <c r="H85" i="2"/>
  <c r="G85" i="2"/>
  <c r="F85" i="2"/>
  <c r="E85" i="2"/>
  <c r="D85" i="2"/>
  <c r="C85" i="2"/>
  <c r="B85" i="2"/>
  <c r="H84" i="2"/>
  <c r="G84" i="2"/>
  <c r="F84" i="2"/>
  <c r="E84" i="2"/>
  <c r="D84" i="2"/>
  <c r="C84" i="2"/>
  <c r="B84" i="2"/>
  <c r="H83" i="2"/>
  <c r="G83" i="2"/>
  <c r="F83" i="2"/>
  <c r="E83" i="2"/>
  <c r="D83" i="2"/>
  <c r="C83" i="2"/>
  <c r="B83" i="2"/>
  <c r="H82" i="2"/>
  <c r="G82" i="2"/>
  <c r="F82" i="2"/>
  <c r="E82" i="2"/>
  <c r="D82" i="2"/>
  <c r="C82" i="2"/>
  <c r="B82" i="2"/>
  <c r="H81" i="2"/>
  <c r="G81" i="2"/>
  <c r="F81" i="2"/>
  <c r="E81" i="2"/>
  <c r="D81" i="2"/>
  <c r="C81" i="2"/>
  <c r="B81" i="2"/>
  <c r="H80" i="2"/>
  <c r="G80" i="2"/>
  <c r="F80" i="2"/>
  <c r="E80" i="2"/>
  <c r="D80" i="2"/>
  <c r="C80" i="2"/>
  <c r="B80" i="2"/>
  <c r="H79" i="2"/>
  <c r="G79" i="2"/>
  <c r="F79" i="2"/>
  <c r="E79" i="2"/>
  <c r="D79" i="2"/>
  <c r="C79" i="2"/>
  <c r="B79" i="2"/>
  <c r="H78" i="2"/>
  <c r="F78" i="2"/>
  <c r="E78" i="2"/>
  <c r="D78" i="2"/>
  <c r="C78" i="2"/>
  <c r="B78" i="2"/>
  <c r="H77" i="2"/>
  <c r="G77" i="2"/>
  <c r="F77" i="2"/>
  <c r="E77" i="2"/>
  <c r="D77" i="2"/>
  <c r="C77" i="2"/>
  <c r="B77" i="2"/>
  <c r="H76" i="2"/>
  <c r="G76" i="2"/>
  <c r="F76" i="2"/>
  <c r="E76" i="2"/>
  <c r="D76" i="2"/>
  <c r="C76" i="2"/>
  <c r="B76" i="2"/>
  <c r="H75" i="2"/>
  <c r="G75" i="2"/>
  <c r="F75" i="2"/>
  <c r="E75" i="2"/>
  <c r="D75" i="2"/>
  <c r="C75" i="2"/>
  <c r="B75" i="2"/>
  <c r="H74" i="2"/>
  <c r="G74" i="2"/>
  <c r="F74" i="2"/>
  <c r="E74" i="2"/>
  <c r="D74" i="2"/>
  <c r="C74" i="2"/>
  <c r="B74" i="2"/>
  <c r="H73" i="2"/>
  <c r="G73" i="2"/>
  <c r="F73" i="2"/>
  <c r="E73" i="2"/>
  <c r="D73" i="2"/>
  <c r="C73" i="2"/>
  <c r="B73" i="2"/>
  <c r="H72" i="2"/>
  <c r="G72" i="2"/>
  <c r="F72" i="2"/>
  <c r="E72" i="2"/>
  <c r="D72" i="2"/>
  <c r="C72" i="2"/>
  <c r="B72" i="2"/>
  <c r="H71" i="2"/>
  <c r="G71" i="2"/>
  <c r="F71" i="2"/>
  <c r="E71" i="2"/>
  <c r="D71" i="2"/>
  <c r="C71" i="2"/>
  <c r="B71" i="2"/>
  <c r="H70" i="2"/>
  <c r="G70" i="2"/>
  <c r="F70" i="2"/>
  <c r="E70" i="2"/>
  <c r="D70" i="2"/>
  <c r="C70" i="2"/>
  <c r="B70" i="2"/>
  <c r="H69" i="2"/>
  <c r="G69" i="2"/>
  <c r="F69" i="2"/>
  <c r="E69" i="2"/>
  <c r="D69" i="2"/>
  <c r="C69" i="2"/>
  <c r="B69" i="2"/>
  <c r="H68" i="2"/>
  <c r="F45" i="2"/>
  <c r="E45" i="2"/>
  <c r="H44" i="2"/>
  <c r="G44" i="2"/>
  <c r="F44" i="2"/>
  <c r="E44" i="2"/>
  <c r="D44" i="2"/>
  <c r="C44" i="2"/>
  <c r="B44" i="2"/>
  <c r="H43" i="2"/>
  <c r="G43" i="2"/>
  <c r="F43" i="2"/>
  <c r="E43" i="2"/>
  <c r="D43" i="2"/>
  <c r="C43" i="2"/>
  <c r="B43" i="2"/>
  <c r="H42" i="2"/>
  <c r="G42" i="2"/>
  <c r="F42" i="2"/>
  <c r="E42" i="2"/>
  <c r="D42" i="2"/>
  <c r="C42" i="2"/>
  <c r="B42" i="2"/>
  <c r="H41" i="2"/>
  <c r="G41" i="2"/>
  <c r="F41" i="2"/>
  <c r="E41" i="2"/>
  <c r="D41" i="2"/>
  <c r="C41" i="2"/>
  <c r="B41" i="2"/>
  <c r="H40" i="2"/>
  <c r="G40" i="2"/>
  <c r="F40" i="2"/>
  <c r="E40" i="2"/>
  <c r="D40" i="2"/>
  <c r="C40" i="2"/>
  <c r="B40" i="2"/>
  <c r="H39" i="2"/>
  <c r="G39" i="2"/>
  <c r="F39" i="2"/>
  <c r="E39" i="2"/>
  <c r="D39" i="2"/>
  <c r="C39" i="2"/>
  <c r="B39" i="2"/>
  <c r="H38" i="2"/>
  <c r="G38" i="2"/>
  <c r="F38" i="2"/>
  <c r="E38" i="2"/>
  <c r="D38" i="2"/>
  <c r="C38" i="2"/>
  <c r="B38" i="2"/>
  <c r="H37" i="2"/>
  <c r="G37" i="2"/>
  <c r="F37" i="2"/>
  <c r="E37" i="2"/>
  <c r="D37" i="2"/>
  <c r="C37" i="2"/>
  <c r="B37" i="2"/>
  <c r="H36" i="2"/>
  <c r="G36" i="2"/>
  <c r="F36" i="2"/>
  <c r="E36" i="2"/>
  <c r="D36" i="2"/>
  <c r="C36" i="2"/>
  <c r="B36" i="2"/>
  <c r="H35" i="2"/>
  <c r="G35" i="2"/>
  <c r="F35" i="2"/>
  <c r="E35" i="2"/>
  <c r="D35" i="2"/>
  <c r="C35" i="2"/>
  <c r="B35" i="2"/>
  <c r="H34" i="2"/>
  <c r="G34" i="2"/>
  <c r="F34" i="2"/>
  <c r="E34" i="2"/>
  <c r="D34" i="2"/>
  <c r="C34" i="2"/>
  <c r="B34" i="2"/>
  <c r="H33" i="2"/>
  <c r="G33" i="2"/>
  <c r="F33" i="2"/>
  <c r="E33" i="2"/>
  <c r="D33" i="2"/>
  <c r="C33" i="2"/>
  <c r="B33" i="2"/>
  <c r="H32" i="2"/>
  <c r="G32" i="2"/>
  <c r="F32" i="2"/>
  <c r="E32" i="2"/>
  <c r="D32" i="2"/>
  <c r="C32" i="2"/>
  <c r="B32" i="2"/>
  <c r="H31" i="2"/>
  <c r="G31" i="2"/>
  <c r="F31" i="2"/>
  <c r="E31" i="2"/>
  <c r="D31" i="2"/>
  <c r="C31" i="2"/>
  <c r="B31" i="2"/>
  <c r="F30" i="2"/>
  <c r="E30" i="2"/>
  <c r="H29" i="2"/>
  <c r="G29" i="2"/>
  <c r="F29" i="2"/>
  <c r="E29" i="2"/>
  <c r="D29" i="2"/>
  <c r="C29" i="2"/>
  <c r="B29" i="2"/>
  <c r="H28" i="2"/>
  <c r="G28" i="2"/>
  <c r="F28" i="2"/>
  <c r="E28" i="2"/>
  <c r="D28" i="2"/>
  <c r="C28" i="2"/>
  <c r="B28" i="2"/>
  <c r="H27" i="2"/>
  <c r="G27" i="2"/>
  <c r="F27" i="2"/>
  <c r="E27" i="2"/>
  <c r="D27" i="2"/>
  <c r="C27" i="2"/>
  <c r="B27" i="2"/>
  <c r="H26" i="2"/>
  <c r="G26" i="2"/>
  <c r="F26" i="2"/>
  <c r="E26" i="2"/>
  <c r="D26" i="2"/>
  <c r="C26" i="2"/>
  <c r="B26" i="2"/>
  <c r="F25" i="2"/>
  <c r="E25" i="2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F16" i="2"/>
  <c r="E16" i="2"/>
  <c r="H15" i="2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H12" i="2"/>
  <c r="G12" i="2"/>
  <c r="F12" i="2"/>
  <c r="E12" i="2"/>
  <c r="D12" i="2"/>
  <c r="C12" i="2"/>
  <c r="B12" i="2"/>
  <c r="F11" i="2"/>
  <c r="E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F6" i="2"/>
  <c r="E6" i="2"/>
  <c r="D8" i="1"/>
  <c r="D7" i="1"/>
  <c r="G30" i="3" l="1"/>
  <c r="G16" i="3"/>
  <c r="G106" i="2"/>
  <c r="G30" i="2"/>
  <c r="G25" i="2"/>
  <c r="G16" i="2"/>
  <c r="G11" i="3"/>
  <c r="G95" i="3"/>
  <c r="G25" i="3"/>
  <c r="D9" i="1"/>
  <c r="G6" i="2"/>
  <c r="G112" i="2"/>
  <c r="G11" i="2"/>
  <c r="G106" i="3"/>
  <c r="G112" i="3"/>
  <c r="G45" i="3"/>
  <c r="G6" i="3"/>
  <c r="G95" i="2"/>
  <c r="G115" i="2"/>
  <c r="G45" i="2"/>
  <c r="P202" i="4"/>
  <c r="I26" i="2"/>
  <c r="P201" i="4"/>
  <c r="I26" i="3"/>
  <c r="I94" i="3"/>
  <c r="P200" i="4"/>
  <c r="P199" i="4"/>
  <c r="I94" i="2"/>
  <c r="P198" i="4"/>
  <c r="I111" i="2"/>
  <c r="I93" i="3"/>
  <c r="P196" i="4"/>
  <c r="P195" i="4"/>
  <c r="I93" i="2"/>
  <c r="P194" i="4"/>
  <c r="I92" i="3"/>
  <c r="P193" i="4"/>
  <c r="I92" i="2"/>
  <c r="I91" i="3"/>
  <c r="P192" i="4"/>
  <c r="P191" i="4"/>
  <c r="I91" i="2"/>
  <c r="P190" i="4"/>
  <c r="I90" i="2"/>
  <c r="P189" i="4"/>
  <c r="I90" i="3"/>
  <c r="P188" i="4"/>
  <c r="I89" i="2"/>
  <c r="P187" i="4"/>
  <c r="I89" i="3"/>
  <c r="P186" i="4"/>
  <c r="I88" i="2"/>
  <c r="I88" i="3"/>
  <c r="P185" i="4"/>
  <c r="I87" i="2"/>
  <c r="P184" i="4"/>
  <c r="P183" i="4"/>
  <c r="I87" i="3"/>
  <c r="P182" i="4"/>
  <c r="I86" i="2"/>
  <c r="P181" i="4"/>
  <c r="I86" i="3"/>
  <c r="P180" i="4"/>
  <c r="I85" i="3"/>
  <c r="P179" i="4"/>
  <c r="I85" i="2"/>
  <c r="P178" i="4"/>
  <c r="I84" i="3"/>
  <c r="P177" i="4"/>
  <c r="I84" i="2"/>
  <c r="P176" i="4"/>
  <c r="I83" i="3"/>
  <c r="P175" i="4"/>
  <c r="I83" i="2"/>
  <c r="P174" i="4"/>
  <c r="I82" i="3"/>
  <c r="P173" i="4"/>
  <c r="I82" i="2"/>
  <c r="I81" i="3"/>
  <c r="P172" i="4"/>
  <c r="P171" i="4"/>
  <c r="I81" i="2"/>
  <c r="P170" i="4"/>
  <c r="I80" i="3"/>
  <c r="P169" i="4"/>
  <c r="I80" i="2"/>
  <c r="P168" i="4"/>
  <c r="I79" i="3"/>
  <c r="P167" i="4"/>
  <c r="I79" i="2"/>
  <c r="I44" i="3"/>
  <c r="P166" i="4"/>
  <c r="P165" i="4"/>
  <c r="I44" i="2"/>
  <c r="O164" i="4"/>
  <c r="G78" i="3"/>
  <c r="G78" i="2"/>
  <c r="O163" i="4"/>
  <c r="O162" i="4"/>
  <c r="G77" i="3"/>
  <c r="P161" i="4"/>
  <c r="I77" i="2"/>
  <c r="P160" i="4"/>
  <c r="I43" i="3"/>
  <c r="P159" i="4"/>
  <c r="I43" i="2"/>
  <c r="P158" i="4"/>
  <c r="I42" i="3"/>
  <c r="P157" i="4"/>
  <c r="I42" i="2"/>
  <c r="I76" i="3"/>
  <c r="P156" i="4"/>
  <c r="I76" i="2"/>
  <c r="P155" i="4"/>
  <c r="P154" i="4"/>
  <c r="I75" i="3"/>
  <c r="I75" i="2"/>
  <c r="P153" i="4"/>
  <c r="P151" i="4"/>
  <c r="I114" i="2"/>
  <c r="I74" i="3"/>
  <c r="P150" i="4"/>
  <c r="P149" i="4"/>
  <c r="I74" i="2"/>
  <c r="P148" i="4"/>
  <c r="I73" i="3"/>
  <c r="I73" i="2"/>
  <c r="P147" i="4"/>
  <c r="P145" i="4"/>
  <c r="I110" i="2"/>
  <c r="P144" i="4"/>
  <c r="I72" i="3"/>
  <c r="I72" i="2"/>
  <c r="P143" i="4"/>
  <c r="P142" i="4"/>
  <c r="I71" i="3"/>
  <c r="P141" i="4"/>
  <c r="I71" i="2"/>
  <c r="P139" i="4"/>
  <c r="I105" i="2"/>
  <c r="P138" i="4"/>
  <c r="I41" i="3"/>
  <c r="P137" i="4"/>
  <c r="I41" i="2"/>
  <c r="P136" i="4"/>
  <c r="I70" i="3"/>
  <c r="P135" i="4"/>
  <c r="I70" i="2"/>
  <c r="P134" i="4"/>
  <c r="I69" i="3"/>
  <c r="P133" i="4"/>
  <c r="I69" i="2"/>
  <c r="P131" i="4"/>
  <c r="I109" i="2"/>
  <c r="I68" i="3"/>
  <c r="P130" i="4"/>
  <c r="P129" i="4"/>
  <c r="I68" i="2"/>
  <c r="P128" i="4"/>
  <c r="I67" i="3"/>
  <c r="P126" i="4"/>
  <c r="I40" i="3"/>
  <c r="P125" i="4"/>
  <c r="I40" i="2"/>
  <c r="P123" i="4"/>
  <c r="I108" i="2"/>
  <c r="P121" i="4"/>
  <c r="I104" i="2"/>
  <c r="P120" i="4"/>
  <c r="I39" i="3"/>
  <c r="I39" i="2"/>
  <c r="P119" i="4"/>
  <c r="P118" i="4"/>
  <c r="I66" i="3"/>
  <c r="P115" i="4"/>
  <c r="I103" i="2"/>
  <c r="P114" i="4"/>
  <c r="I65" i="3"/>
  <c r="P112" i="4"/>
  <c r="I24" i="3"/>
  <c r="P111" i="4"/>
  <c r="I24" i="2"/>
  <c r="P110" i="4"/>
  <c r="I64" i="3"/>
  <c r="P108" i="4"/>
  <c r="I23" i="3"/>
  <c r="P107" i="4"/>
  <c r="I23" i="2"/>
  <c r="I63" i="3"/>
  <c r="P106" i="4"/>
  <c r="P104" i="4"/>
  <c r="I62" i="3"/>
  <c r="I102" i="3"/>
  <c r="P102" i="4"/>
  <c r="P101" i="4"/>
  <c r="I102" i="2"/>
  <c r="P100" i="4"/>
  <c r="I38" i="3"/>
  <c r="P99" i="4"/>
  <c r="I38" i="2"/>
  <c r="I61" i="3"/>
  <c r="P98" i="4"/>
  <c r="P96" i="4"/>
  <c r="I101" i="3"/>
  <c r="P95" i="4"/>
  <c r="I101" i="2"/>
  <c r="P94" i="4"/>
  <c r="I60" i="3"/>
  <c r="P92" i="4"/>
  <c r="I100" i="3"/>
  <c r="P91" i="4"/>
  <c r="I100" i="2"/>
  <c r="I59" i="3"/>
  <c r="P90" i="4"/>
  <c r="I58" i="3"/>
  <c r="P88" i="4"/>
  <c r="P86" i="4"/>
  <c r="I57" i="3"/>
  <c r="P84" i="4"/>
  <c r="I99" i="3"/>
  <c r="P83" i="4"/>
  <c r="I99" i="2"/>
  <c r="P82" i="4"/>
  <c r="I37" i="3"/>
  <c r="I37" i="2"/>
  <c r="P81" i="4"/>
  <c r="P80" i="4"/>
  <c r="I56" i="3"/>
  <c r="P78" i="4"/>
  <c r="I22" i="3"/>
  <c r="P77" i="4"/>
  <c r="Q77" i="4" s="1"/>
  <c r="I22" i="2"/>
  <c r="M76" i="4"/>
  <c r="E115" i="3"/>
  <c r="G115" i="3" s="1"/>
  <c r="Q202" i="4"/>
  <c r="Q194" i="4"/>
  <c r="Q192" i="4"/>
  <c r="Q189" i="4"/>
  <c r="Q187" i="4"/>
  <c r="Q169" i="4"/>
  <c r="Q159" i="4"/>
  <c r="Q150" i="4"/>
  <c r="Q136" i="4"/>
  <c r="Q127" i="4"/>
  <c r="Q114" i="4"/>
  <c r="Q105" i="4"/>
  <c r="Q93" i="4"/>
  <c r="Q90" i="4"/>
  <c r="Q82" i="4"/>
  <c r="Q79" i="4"/>
  <c r="Q125" i="4"/>
  <c r="Q119" i="4"/>
  <c r="Q111" i="4"/>
  <c r="Q94" i="4"/>
  <c r="Q87" i="4"/>
  <c r="Q81" i="4"/>
  <c r="Q185" i="4"/>
  <c r="Q173" i="4"/>
  <c r="Q158" i="4"/>
  <c r="Q138" i="4"/>
  <c r="Q134" i="4"/>
  <c r="Q117" i="4"/>
  <c r="Q86" i="4"/>
  <c r="Q80" i="4"/>
  <c r="Q171" i="4"/>
  <c r="Q166" i="4"/>
  <c r="Q161" i="4"/>
  <c r="Q153" i="4"/>
  <c r="Q149" i="4"/>
  <c r="Q126" i="4"/>
  <c r="Q121" i="4"/>
  <c r="Q113" i="4"/>
  <c r="Q108" i="4"/>
  <c r="Q100" i="4"/>
  <c r="Q88" i="4"/>
  <c r="Q198" i="4"/>
  <c r="Q193" i="4"/>
  <c r="Q155" i="4"/>
  <c r="Q151" i="4"/>
  <c r="Q147" i="4"/>
  <c r="Q123" i="4"/>
  <c r="Q120" i="4"/>
  <c r="Q98" i="4"/>
  <c r="Q83" i="4"/>
  <c r="Q195" i="4"/>
  <c r="Q183" i="4"/>
  <c r="Q139" i="4"/>
  <c r="Q130" i="4"/>
  <c r="Q154" i="4"/>
  <c r="Q196" i="4"/>
  <c r="Q181" i="4"/>
  <c r="Q167" i="4"/>
  <c r="Q145" i="4"/>
  <c r="Q141" i="4"/>
  <c r="Q124" i="4"/>
  <c r="Q112" i="4"/>
  <c r="Q89" i="4"/>
  <c r="Q180" i="4"/>
  <c r="Q177" i="4"/>
  <c r="Q170" i="4"/>
  <c r="Q157" i="4"/>
  <c r="Q140" i="4"/>
  <c r="Q135" i="4"/>
  <c r="Q131" i="4"/>
  <c r="Q128" i="4"/>
  <c r="Q107" i="4"/>
  <c r="Q104" i="4"/>
  <c r="Q96" i="4"/>
  <c r="Q85" i="4"/>
  <c r="Q78" i="4"/>
  <c r="Q201" i="4"/>
  <c r="Q190" i="4"/>
  <c r="Q188" i="4"/>
  <c r="Q184" i="4"/>
  <c r="Q168" i="4"/>
  <c r="Q165" i="4"/>
  <c r="Q156" i="4"/>
  <c r="Q148" i="4"/>
  <c r="Q142" i="4"/>
  <c r="Q99" i="4"/>
  <c r="Q75" i="4"/>
  <c r="Q191" i="4"/>
  <c r="Q175" i="4"/>
  <c r="Q172" i="4"/>
  <c r="Q152" i="4"/>
  <c r="Q146" i="4"/>
  <c r="Q143" i="4"/>
  <c r="Q115" i="4"/>
  <c r="Q110" i="4"/>
  <c r="Q102" i="4"/>
  <c r="Q92" i="4"/>
  <c r="Q199" i="4"/>
  <c r="Q179" i="4"/>
  <c r="Q176" i="4"/>
  <c r="Q144" i="4"/>
  <c r="Q137" i="4"/>
  <c r="Q133" i="4"/>
  <c r="Q122" i="4"/>
  <c r="Q118" i="4"/>
  <c r="Q106" i="4"/>
  <c r="Q101" i="4"/>
  <c r="Q95" i="4"/>
  <c r="Q91" i="4"/>
  <c r="Q200" i="4"/>
  <c r="Q186" i="4"/>
  <c r="Q182" i="4"/>
  <c r="Q178" i="4"/>
  <c r="Q174" i="4"/>
  <c r="Q160" i="4"/>
  <c r="Q116" i="4"/>
  <c r="Q109" i="4"/>
  <c r="Q103" i="4"/>
  <c r="Q97" i="4"/>
  <c r="Q84" i="4"/>
  <c r="Q197" i="4"/>
  <c r="P74" i="4"/>
  <c r="I54" i="3"/>
  <c r="P72" i="4"/>
  <c r="I36" i="3"/>
  <c r="P71" i="4"/>
  <c r="I36" i="2"/>
  <c r="P70" i="4"/>
  <c r="I53" i="3"/>
  <c r="P68" i="4"/>
  <c r="I52" i="3"/>
  <c r="P66" i="4"/>
  <c r="I29" i="3"/>
  <c r="P65" i="4"/>
  <c r="Q65" i="4" s="1"/>
  <c r="I29" i="2"/>
  <c r="P64" i="4"/>
  <c r="I15" i="3"/>
  <c r="P63" i="4"/>
  <c r="I15" i="2"/>
  <c r="I51" i="3"/>
  <c r="P62" i="4"/>
  <c r="Q61" i="4" s="1"/>
  <c r="P60" i="4"/>
  <c r="I50" i="3"/>
  <c r="I10" i="3"/>
  <c r="P58" i="4"/>
  <c r="I10" i="2"/>
  <c r="P57" i="4"/>
  <c r="Q57" i="4" s="1"/>
  <c r="P56" i="4"/>
  <c r="I98" i="3"/>
  <c r="I98" i="2"/>
  <c r="P55" i="4"/>
  <c r="I49" i="3"/>
  <c r="P54" i="4"/>
  <c r="P52" i="4"/>
  <c r="I35" i="3"/>
  <c r="P51" i="4"/>
  <c r="I35" i="2"/>
  <c r="I48" i="3"/>
  <c r="P50" i="4"/>
  <c r="P48" i="4"/>
  <c r="I28" i="2"/>
  <c r="P47" i="4"/>
  <c r="Q47" i="4" s="1"/>
  <c r="I28" i="3"/>
  <c r="P45" i="4"/>
  <c r="I113" i="2"/>
  <c r="P44" i="4"/>
  <c r="I34" i="3"/>
  <c r="P43" i="4"/>
  <c r="Q43" i="4" s="1"/>
  <c r="I34" i="2"/>
  <c r="I97" i="3"/>
  <c r="P42" i="4"/>
  <c r="P41" i="4"/>
  <c r="Q41" i="4" s="1"/>
  <c r="I97" i="2"/>
  <c r="I47" i="3"/>
  <c r="P40" i="4"/>
  <c r="Q39" i="4" s="1"/>
  <c r="P38" i="4"/>
  <c r="I14" i="3"/>
  <c r="P37" i="4"/>
  <c r="I14" i="2"/>
  <c r="P36" i="4"/>
  <c r="I33" i="3"/>
  <c r="P35" i="4"/>
  <c r="I33" i="2"/>
  <c r="P33" i="4"/>
  <c r="I107" i="2"/>
  <c r="P32" i="4"/>
  <c r="I21" i="3"/>
  <c r="I21" i="2"/>
  <c r="P31" i="4"/>
  <c r="Q31" i="4" s="1"/>
  <c r="P30" i="4"/>
  <c r="I32" i="3"/>
  <c r="P29" i="4"/>
  <c r="Q29" i="4" s="1"/>
  <c r="I32" i="2"/>
  <c r="P28" i="4"/>
  <c r="I95" i="2" s="1"/>
  <c r="I96" i="2"/>
  <c r="P27" i="4"/>
  <c r="I96" i="3"/>
  <c r="P26" i="4"/>
  <c r="I46" i="3"/>
  <c r="P24" i="4"/>
  <c r="I25" i="3" s="1"/>
  <c r="I27" i="3"/>
  <c r="P23" i="4"/>
  <c r="I27" i="2"/>
  <c r="I31" i="3"/>
  <c r="P22" i="4"/>
  <c r="I30" i="3" s="1"/>
  <c r="P21" i="4"/>
  <c r="I31" i="2"/>
  <c r="I20" i="3"/>
  <c r="P20" i="4"/>
  <c r="P19" i="4"/>
  <c r="I20" i="2"/>
  <c r="P18" i="4"/>
  <c r="I9" i="3"/>
  <c r="P17" i="4"/>
  <c r="I9" i="2"/>
  <c r="I8" i="3"/>
  <c r="P16" i="4"/>
  <c r="P15" i="4"/>
  <c r="I8" i="2"/>
  <c r="P14" i="4"/>
  <c r="I19" i="3"/>
  <c r="I19" i="2"/>
  <c r="P13" i="4"/>
  <c r="P12" i="4"/>
  <c r="I18" i="3"/>
  <c r="P11" i="4"/>
  <c r="Q11" i="4" s="1"/>
  <c r="I18" i="2"/>
  <c r="I17" i="3"/>
  <c r="P10" i="4"/>
  <c r="I16" i="3" s="1"/>
  <c r="P9" i="4"/>
  <c r="I17" i="2"/>
  <c r="P8" i="4"/>
  <c r="I13" i="3"/>
  <c r="P7" i="4"/>
  <c r="I13" i="2"/>
  <c r="P6" i="4"/>
  <c r="I11" i="3" s="1"/>
  <c r="I12" i="3"/>
  <c r="P5" i="4"/>
  <c r="I12" i="2"/>
  <c r="I7" i="3"/>
  <c r="P4" i="4"/>
  <c r="I7" i="2"/>
  <c r="P3" i="4"/>
  <c r="B108" i="3"/>
  <c r="I107" i="3"/>
  <c r="H107" i="3"/>
  <c r="G107" i="3"/>
  <c r="F107" i="3"/>
  <c r="E107" i="3"/>
  <c r="D107" i="3"/>
  <c r="C107" i="3"/>
  <c r="B107" i="3"/>
  <c r="I105" i="3"/>
  <c r="H105" i="3"/>
  <c r="G105" i="3"/>
  <c r="F105" i="3"/>
  <c r="E105" i="3"/>
  <c r="D105" i="3"/>
  <c r="C105" i="3"/>
  <c r="B105" i="3"/>
  <c r="I104" i="3"/>
  <c r="H104" i="3"/>
  <c r="G104" i="3"/>
  <c r="F104" i="3"/>
  <c r="E104" i="3"/>
  <c r="D104" i="3"/>
  <c r="C104" i="3"/>
  <c r="B104" i="3"/>
  <c r="I103" i="3"/>
  <c r="G68" i="2"/>
  <c r="F68" i="2"/>
  <c r="E68" i="2"/>
  <c r="D68" i="2"/>
  <c r="C68" i="2"/>
  <c r="B68" i="2"/>
  <c r="I67" i="2"/>
  <c r="H67" i="2"/>
  <c r="G67" i="2"/>
  <c r="F67" i="2"/>
  <c r="E67" i="2"/>
  <c r="D67" i="2"/>
  <c r="C67" i="2"/>
  <c r="B67" i="2"/>
  <c r="I66" i="2"/>
  <c r="H66" i="2"/>
  <c r="G66" i="2"/>
  <c r="F66" i="2"/>
  <c r="E66" i="2"/>
  <c r="D66" i="2"/>
  <c r="C66" i="2"/>
  <c r="B66" i="2"/>
  <c r="I65" i="2"/>
  <c r="H65" i="2"/>
  <c r="G65" i="2"/>
  <c r="F65" i="2"/>
  <c r="E65" i="2"/>
  <c r="D65" i="2"/>
  <c r="C65" i="2"/>
  <c r="B65" i="2"/>
  <c r="I64" i="2"/>
  <c r="H64" i="2"/>
  <c r="G64" i="2"/>
  <c r="F64" i="2"/>
  <c r="E64" i="2"/>
  <c r="D64" i="2"/>
  <c r="C64" i="2"/>
  <c r="B64" i="2"/>
  <c r="I63" i="2"/>
  <c r="H63" i="2"/>
  <c r="G63" i="2"/>
  <c r="F63" i="2"/>
  <c r="E63" i="2"/>
  <c r="D63" i="2"/>
  <c r="C63" i="2"/>
  <c r="B63" i="2"/>
  <c r="I62" i="2"/>
  <c r="H62" i="2"/>
  <c r="G62" i="2"/>
  <c r="F62" i="2"/>
  <c r="E62" i="2"/>
  <c r="D62" i="2"/>
  <c r="B62" i="2"/>
  <c r="D50" i="2"/>
  <c r="E50" i="2"/>
  <c r="F50" i="2"/>
  <c r="G50" i="2"/>
  <c r="H50" i="2"/>
  <c r="F46" i="2"/>
  <c r="I50" i="2"/>
  <c r="B51" i="2"/>
  <c r="C51" i="2"/>
  <c r="D51" i="2"/>
  <c r="C46" i="2"/>
  <c r="E51" i="2"/>
  <c r="F51" i="2"/>
  <c r="G51" i="2"/>
  <c r="H51" i="2"/>
  <c r="G46" i="2"/>
  <c r="H46" i="2"/>
  <c r="I51" i="2"/>
  <c r="B52" i="2"/>
  <c r="C52" i="2"/>
  <c r="I46" i="2"/>
  <c r="B47" i="2"/>
  <c r="D52" i="2"/>
  <c r="E52" i="2"/>
  <c r="F52" i="2"/>
  <c r="G52" i="2"/>
  <c r="C47" i="2"/>
  <c r="H52" i="2"/>
  <c r="I52" i="2"/>
  <c r="B53" i="2"/>
  <c r="C53" i="2"/>
  <c r="D53" i="2"/>
  <c r="C62" i="2"/>
  <c r="E53" i="2"/>
  <c r="G53" i="2"/>
  <c r="H53" i="2"/>
  <c r="I53" i="2"/>
  <c r="B54" i="2"/>
  <c r="C54" i="2"/>
  <c r="D47" i="2"/>
  <c r="D54" i="2"/>
  <c r="E54" i="2"/>
  <c r="E47" i="2"/>
  <c r="F54" i="2"/>
  <c r="G54" i="2"/>
  <c r="H54" i="2"/>
  <c r="I54" i="2"/>
  <c r="B55" i="2"/>
  <c r="C55" i="2"/>
  <c r="D55" i="2"/>
  <c r="E55" i="2"/>
  <c r="F55" i="2"/>
  <c r="I114" i="3"/>
  <c r="H114" i="3"/>
  <c r="G114" i="3"/>
  <c r="F114" i="3"/>
  <c r="E114" i="3"/>
  <c r="D114" i="3"/>
  <c r="C114" i="3"/>
  <c r="B114" i="3"/>
  <c r="I113" i="3"/>
  <c r="G55" i="2"/>
  <c r="H55" i="2"/>
  <c r="H113" i="3"/>
  <c r="I55" i="2"/>
  <c r="B56" i="2"/>
  <c r="F47" i="2"/>
  <c r="C56" i="2"/>
  <c r="G47" i="2"/>
  <c r="H47" i="2"/>
  <c r="D56" i="2"/>
  <c r="I47" i="2"/>
  <c r="E56" i="2"/>
  <c r="B48" i="2"/>
  <c r="F56" i="2"/>
  <c r="C48" i="2"/>
  <c r="G113" i="3"/>
  <c r="F113" i="3"/>
  <c r="E113" i="3"/>
  <c r="D113" i="3"/>
  <c r="D48" i="2"/>
  <c r="G56" i="2"/>
  <c r="H56" i="2"/>
  <c r="I56" i="2"/>
  <c r="B57" i="2"/>
  <c r="C57" i="2"/>
  <c r="D57" i="2"/>
  <c r="E57" i="2"/>
  <c r="C113" i="3"/>
  <c r="F57" i="2"/>
  <c r="E48" i="2"/>
  <c r="G57" i="2"/>
  <c r="H57" i="2"/>
  <c r="B113" i="3"/>
  <c r="F48" i="2"/>
  <c r="I57" i="2"/>
  <c r="I111" i="3"/>
  <c r="H111" i="3"/>
  <c r="G111" i="3"/>
  <c r="F111" i="3"/>
  <c r="E111" i="3"/>
  <c r="D111" i="3"/>
  <c r="B58" i="2"/>
  <c r="C58" i="2"/>
  <c r="G48" i="2"/>
  <c r="H48" i="2"/>
  <c r="I48" i="2"/>
  <c r="H109" i="3"/>
  <c r="D58" i="2"/>
  <c r="E58" i="2"/>
  <c r="B49" i="2"/>
  <c r="D46" i="2"/>
  <c r="F58" i="2"/>
  <c r="G58" i="2"/>
  <c r="C111" i="3"/>
  <c r="H58" i="2"/>
  <c r="C49" i="2"/>
  <c r="B111" i="3"/>
  <c r="I110" i="3"/>
  <c r="H110" i="3"/>
  <c r="G110" i="3"/>
  <c r="F110" i="3"/>
  <c r="E110" i="3"/>
  <c r="D110" i="3"/>
  <c r="I58" i="2"/>
  <c r="B59" i="2"/>
  <c r="F53" i="2"/>
  <c r="C59" i="2"/>
  <c r="C110" i="3"/>
  <c r="D59" i="2"/>
  <c r="E59" i="2"/>
  <c r="D49" i="2"/>
  <c r="E49" i="2"/>
  <c r="F59" i="2"/>
  <c r="F49" i="2"/>
  <c r="G49" i="2"/>
  <c r="G59" i="2"/>
  <c r="H49" i="2"/>
  <c r="E46" i="2"/>
  <c r="H59" i="2"/>
  <c r="I49" i="2"/>
  <c r="B50" i="2"/>
  <c r="B110" i="3"/>
  <c r="I109" i="3"/>
  <c r="I59" i="2"/>
  <c r="B60" i="2"/>
  <c r="C60" i="2"/>
  <c r="D60" i="2"/>
  <c r="C50" i="2"/>
  <c r="E60" i="2"/>
  <c r="B46" i="2"/>
  <c r="F60" i="2"/>
  <c r="G60" i="2"/>
  <c r="G109" i="3"/>
  <c r="F109" i="3"/>
  <c r="E109" i="3"/>
  <c r="D109" i="3"/>
  <c r="H60" i="2"/>
  <c r="C109" i="3"/>
  <c r="B109" i="3"/>
  <c r="I60" i="2"/>
  <c r="B61" i="2"/>
  <c r="C61" i="2"/>
  <c r="D61" i="2"/>
  <c r="E61" i="2"/>
  <c r="F61" i="2"/>
  <c r="G61" i="2"/>
  <c r="H61" i="2"/>
  <c r="I61" i="2"/>
  <c r="I108" i="3"/>
  <c r="H108" i="3"/>
  <c r="G108" i="3"/>
  <c r="F108" i="3"/>
  <c r="E108" i="3"/>
  <c r="D108" i="3"/>
  <c r="C108" i="3"/>
  <c r="Q55" i="4" l="1"/>
  <c r="P164" i="4"/>
  <c r="I78" i="3"/>
  <c r="P163" i="4"/>
  <c r="I45" i="2" s="1"/>
  <c r="I78" i="2"/>
  <c r="I77" i="3"/>
  <c r="P162" i="4"/>
  <c r="Q129" i="4" s="1"/>
  <c r="G55" i="3"/>
  <c r="O76" i="4"/>
  <c r="I112" i="2"/>
  <c r="Q45" i="4"/>
  <c r="R45" i="4"/>
  <c r="I106" i="2"/>
  <c r="Q33" i="4"/>
  <c r="R33" i="4"/>
  <c r="I95" i="3"/>
  <c r="Q27" i="4"/>
  <c r="R27" i="4"/>
  <c r="I25" i="2"/>
  <c r="Q23" i="4"/>
  <c r="R23" i="4"/>
  <c r="I30" i="2"/>
  <c r="R21" i="4"/>
  <c r="Q21" i="4"/>
  <c r="I16" i="2"/>
  <c r="Q9" i="4"/>
  <c r="R9" i="4"/>
  <c r="I11" i="2"/>
  <c r="Q5" i="4"/>
  <c r="R5" i="4"/>
  <c r="I6" i="3"/>
  <c r="I6" i="2"/>
  <c r="I115" i="2"/>
  <c r="C69" i="1"/>
  <c r="C7" i="1"/>
  <c r="C24" i="1"/>
  <c r="R3" i="4"/>
  <c r="Q3" i="4"/>
  <c r="Q59" i="4"/>
  <c r="Q49" i="4"/>
  <c r="P76" i="4" l="1"/>
  <c r="Q25" i="4" s="1"/>
  <c r="I55" i="3"/>
  <c r="J106" i="2"/>
  <c r="J11" i="2"/>
  <c r="J6" i="2"/>
  <c r="J112" i="2"/>
  <c r="J45" i="2"/>
  <c r="J95" i="2"/>
  <c r="J25" i="2"/>
  <c r="J16" i="2"/>
  <c r="J30" i="2"/>
  <c r="E7" i="1"/>
  <c r="B62" i="1" l="1"/>
  <c r="B41" i="1"/>
  <c r="B51" i="1"/>
  <c r="B32" i="1"/>
  <c r="B36" i="1"/>
  <c r="B56" i="1"/>
  <c r="B44" i="1"/>
  <c r="B31" i="1"/>
  <c r="B45" i="1"/>
  <c r="B57" i="1"/>
  <c r="B34" i="1"/>
  <c r="B47" i="1"/>
  <c r="B35" i="1"/>
  <c r="B48" i="1"/>
  <c r="B42" i="1"/>
  <c r="B66" i="1"/>
  <c r="B68" i="1"/>
  <c r="B38" i="1"/>
  <c r="B64" i="1"/>
  <c r="B30" i="1"/>
  <c r="B59" i="1"/>
  <c r="B61" i="1"/>
  <c r="B67" i="1"/>
  <c r="B54" i="1"/>
  <c r="B43" i="1"/>
  <c r="B52" i="1"/>
  <c r="B58" i="1"/>
  <c r="B37" i="1"/>
  <c r="B49" i="1"/>
  <c r="B55" i="1"/>
  <c r="B65" i="1"/>
  <c r="B39" i="1"/>
  <c r="B60" i="1"/>
  <c r="B63" i="1"/>
  <c r="B53" i="1"/>
  <c r="B50" i="1"/>
  <c r="B33" i="1"/>
  <c r="B46" i="1"/>
  <c r="B40" i="1"/>
  <c r="C8" i="1"/>
  <c r="D24" i="1"/>
  <c r="E69" i="1"/>
  <c r="I115" i="3"/>
  <c r="E24" i="1"/>
  <c r="D69" i="1"/>
  <c r="R25" i="4"/>
  <c r="I45" i="3"/>
  <c r="C62" i="1" l="1"/>
  <c r="E62" i="1"/>
  <c r="D62" i="1"/>
  <c r="D41" i="1"/>
  <c r="C41" i="1"/>
  <c r="E41" i="1"/>
  <c r="C51" i="1"/>
  <c r="D51" i="1"/>
  <c r="E51" i="1"/>
  <c r="C32" i="1"/>
  <c r="D32" i="1"/>
  <c r="E32" i="1"/>
  <c r="E36" i="1"/>
  <c r="C36" i="1"/>
  <c r="D36" i="1"/>
  <c r="E56" i="1"/>
  <c r="D56" i="1"/>
  <c r="C56" i="1"/>
  <c r="E44" i="1"/>
  <c r="C44" i="1"/>
  <c r="D44" i="1"/>
  <c r="C31" i="1"/>
  <c r="E31" i="1"/>
  <c r="D31" i="1"/>
  <c r="D45" i="1"/>
  <c r="C45" i="1"/>
  <c r="E45" i="1"/>
  <c r="D57" i="1"/>
  <c r="C57" i="1"/>
  <c r="E57" i="1"/>
  <c r="C34" i="1"/>
  <c r="D34" i="1"/>
  <c r="E34" i="1"/>
  <c r="D47" i="1"/>
  <c r="C47" i="1"/>
  <c r="E47" i="1"/>
  <c r="E35" i="1"/>
  <c r="D35" i="1"/>
  <c r="C35" i="1"/>
  <c r="D48" i="1"/>
  <c r="E48" i="1"/>
  <c r="C48" i="1"/>
  <c r="E42" i="1"/>
  <c r="D42" i="1"/>
  <c r="C42" i="1"/>
  <c r="D66" i="1"/>
  <c r="C66" i="1"/>
  <c r="E66" i="1"/>
  <c r="C68" i="1"/>
  <c r="E68" i="1"/>
  <c r="D68" i="1"/>
  <c r="D38" i="1"/>
  <c r="E38" i="1"/>
  <c r="C38" i="1"/>
  <c r="E64" i="1"/>
  <c r="C64" i="1"/>
  <c r="D64" i="1"/>
  <c r="D30" i="1"/>
  <c r="E30" i="1"/>
  <c r="C30" i="1"/>
  <c r="C59" i="1"/>
  <c r="E59" i="1"/>
  <c r="D59" i="1"/>
  <c r="E61" i="1"/>
  <c r="C61" i="1"/>
  <c r="D61" i="1"/>
  <c r="D67" i="1"/>
  <c r="C67" i="1"/>
  <c r="E67" i="1"/>
  <c r="E54" i="1"/>
  <c r="D54" i="1"/>
  <c r="C54" i="1"/>
  <c r="C43" i="1"/>
  <c r="D43" i="1"/>
  <c r="E43" i="1"/>
  <c r="E52" i="1"/>
  <c r="D52" i="1"/>
  <c r="C52" i="1"/>
  <c r="E58" i="1"/>
  <c r="C58" i="1"/>
  <c r="D58" i="1"/>
  <c r="D37" i="1"/>
  <c r="C37" i="1"/>
  <c r="E37" i="1"/>
  <c r="D49" i="1"/>
  <c r="E49" i="1"/>
  <c r="C49" i="1"/>
  <c r="E55" i="1"/>
  <c r="D55" i="1"/>
  <c r="C55" i="1"/>
  <c r="E65" i="1"/>
  <c r="C65" i="1"/>
  <c r="D65" i="1"/>
  <c r="D39" i="1"/>
  <c r="E39" i="1"/>
  <c r="C39" i="1"/>
  <c r="E60" i="1"/>
  <c r="C60" i="1"/>
  <c r="D60" i="1"/>
  <c r="E63" i="1"/>
  <c r="C63" i="1"/>
  <c r="D63" i="1"/>
  <c r="E53" i="1"/>
  <c r="C53" i="1"/>
  <c r="D53" i="1"/>
  <c r="E50" i="1"/>
  <c r="D50" i="1"/>
  <c r="C50" i="1"/>
  <c r="C33" i="1"/>
  <c r="E33" i="1"/>
  <c r="D33" i="1"/>
  <c r="C46" i="1"/>
  <c r="D46" i="1"/>
  <c r="E46" i="1"/>
  <c r="D40" i="1"/>
  <c r="C40" i="1"/>
  <c r="E40" i="1"/>
  <c r="C9" i="1"/>
  <c r="E9" i="1" s="1"/>
  <c r="E8" i="1"/>
  <c r="B20" i="1"/>
  <c r="B23" i="1"/>
  <c r="B18" i="1"/>
  <c r="B15" i="1"/>
  <c r="B19" i="1"/>
  <c r="B22" i="1"/>
  <c r="B16" i="1"/>
  <c r="B21" i="1"/>
  <c r="B17" i="1"/>
  <c r="J6" i="3"/>
  <c r="J45" i="3"/>
  <c r="J112" i="3"/>
  <c r="J11" i="3"/>
  <c r="J106" i="3"/>
  <c r="J25" i="3"/>
  <c r="J95" i="3"/>
  <c r="J16" i="3"/>
  <c r="J30" i="3"/>
  <c r="E20" i="1" l="1"/>
  <c r="D20" i="1"/>
  <c r="C20" i="1"/>
  <c r="D23" i="1"/>
  <c r="E23" i="1"/>
  <c r="C23" i="1"/>
  <c r="D18" i="1"/>
  <c r="E18" i="1"/>
  <c r="C18" i="1"/>
  <c r="D15" i="1"/>
  <c r="C15" i="1"/>
  <c r="E15" i="1"/>
  <c r="D19" i="1"/>
  <c r="C19" i="1"/>
  <c r="E19" i="1"/>
  <c r="C22" i="1"/>
  <c r="E22" i="1"/>
  <c r="D22" i="1"/>
  <c r="D16" i="1"/>
  <c r="E16" i="1"/>
  <c r="C16" i="1"/>
  <c r="C21" i="1"/>
  <c r="D21" i="1"/>
  <c r="E21" i="1"/>
  <c r="D17" i="1"/>
  <c r="C17" i="1"/>
  <c r="E17" i="1"/>
</calcChain>
</file>

<file path=xl/sharedStrings.xml><?xml version="1.0" encoding="utf-8"?>
<sst xmlns="http://schemas.openxmlformats.org/spreadsheetml/2006/main" count="1482" uniqueCount="390">
  <si>
    <t>DOH Total – Visão João Pessoa x Araucária</t>
  </si>
  <si>
    <t>1. DOH Total por CD</t>
  </si>
  <si>
    <t>CD</t>
  </si>
  <si>
    <t>Estoque</t>
  </si>
  <si>
    <t>Demanda</t>
  </si>
  <si>
    <t>DOH</t>
  </si>
  <si>
    <t>Araucária</t>
  </si>
  <si>
    <t>João Pessoa</t>
  </si>
  <si>
    <t>Total Geral</t>
  </si>
  <si>
    <t>2. DOH Total por Categoria</t>
  </si>
  <si>
    <t>DOH (limitado à PE)</t>
  </si>
  <si>
    <t>Categoria</t>
  </si>
  <si>
    <t>Ara</t>
  </si>
  <si>
    <t>Jpe</t>
  </si>
  <si>
    <t>Total</t>
  </si>
  <si>
    <t>3. DOH Total por Fornecedor (ordena sozinho: mais crítico primeiro)</t>
  </si>
  <si>
    <t>Fornecedor</t>
  </si>
  <si>
    <t>DOH Araucária – por Categoria</t>
  </si>
  <si>
    <t>Categoria / Item</t>
  </si>
  <si>
    <t>SAP</t>
  </si>
  <si>
    <t>Estoque (cx)</t>
  </si>
  <si>
    <t>Demanda (cx/dia)</t>
  </si>
  <si>
    <t>PE</t>
  </si>
  <si>
    <t>DOH Considerado</t>
  </si>
  <si>
    <t>Ranking categoria
(1 = mais crítica)</t>
  </si>
  <si>
    <t>Chave</t>
  </si>
  <si>
    <t>BEBIDAS</t>
  </si>
  <si>
    <t>221000000780Ara</t>
  </si>
  <si>
    <t>221000000541Ara</t>
  </si>
  <si>
    <t>201080000086Ara</t>
  </si>
  <si>
    <t>201080000005Ara</t>
  </si>
  <si>
    <t>PÃES</t>
  </si>
  <si>
    <t>201010000575Ara</t>
  </si>
  <si>
    <t>201010000262Ara</t>
  </si>
  <si>
    <t>201010000368Ara</t>
  </si>
  <si>
    <t>201010000492Ara</t>
  </si>
  <si>
    <t>PROTEINAS</t>
  </si>
  <si>
    <t>201010000218Ara</t>
  </si>
  <si>
    <t>201010000209Ara</t>
  </si>
  <si>
    <t>201010000645Ara</t>
  </si>
  <si>
    <t>201010000565Ara</t>
  </si>
  <si>
    <t>201010000684Ara</t>
  </si>
  <si>
    <t>201010000402Ara</t>
  </si>
  <si>
    <t>201010000539Ara</t>
  </si>
  <si>
    <t>201010000654Ara</t>
  </si>
  <si>
    <t>LÁCTEOS</t>
  </si>
  <si>
    <t>241000000044Ara</t>
  </si>
  <si>
    <t>201010000628Ara</t>
  </si>
  <si>
    <t>201010000527Ara</t>
  </si>
  <si>
    <t>201010006004Ara</t>
  </si>
  <si>
    <t>MOLHOS</t>
  </si>
  <si>
    <t>201010000317Ara</t>
  </si>
  <si>
    <t>201010000417Ara</t>
  </si>
  <si>
    <t>201010000482Ara</t>
  </si>
  <si>
    <t>201010000322Ara</t>
  </si>
  <si>
    <t>201010000406Ara</t>
  </si>
  <si>
    <t>201010000567Ara</t>
  </si>
  <si>
    <t>201010000616Ara</t>
  </si>
  <si>
    <t>201010000324Ara</t>
  </si>
  <si>
    <t>201010000455Ara</t>
  </si>
  <si>
    <t>201010000561Ara</t>
  </si>
  <si>
    <t>201010000562Ara</t>
  </si>
  <si>
    <t>201010000633Ara</t>
  </si>
  <si>
    <t>201010000376Ara</t>
  </si>
  <si>
    <t>201010000617Ara</t>
  </si>
  <si>
    <t>EMBALAGENS</t>
  </si>
  <si>
    <t>201030000119Ara</t>
  </si>
  <si>
    <t>201030000468Ara</t>
  </si>
  <si>
    <t>201030000215Ara</t>
  </si>
  <si>
    <t>201030000214Ara</t>
  </si>
  <si>
    <t>201030000413Ara</t>
  </si>
  <si>
    <t>201030000356Ara</t>
  </si>
  <si>
    <t>201030000213Ara</t>
  </si>
  <si>
    <t>221000000612Ara</t>
  </si>
  <si>
    <t>221000000617Ara</t>
  </si>
  <si>
    <t>201030000264Ara</t>
  </si>
  <si>
    <t>201030000125Ara</t>
  </si>
  <si>
    <t>201030000304Ara</t>
  </si>
  <si>
    <t>201030000480Ara</t>
  </si>
  <si>
    <t>221000000615Ara</t>
  </si>
  <si>
    <t>201030000111Ara</t>
  </si>
  <si>
    <t>201030000149Ara</t>
  </si>
  <si>
    <t>221000000404Ara</t>
  </si>
  <si>
    <t>201030000104Ara</t>
  </si>
  <si>
    <t>221000000395Ara</t>
  </si>
  <si>
    <t>201030000175Ara</t>
  </si>
  <si>
    <t>201030000379Ara</t>
  </si>
  <si>
    <t>201030000501Ara</t>
  </si>
  <si>
    <t>201030000166Ara</t>
  </si>
  <si>
    <t>201030000500Ara</t>
  </si>
  <si>
    <t>201030000412Ara</t>
  </si>
  <si>
    <t>201030000482Ara</t>
  </si>
  <si>
    <t>201030000411Ara</t>
  </si>
  <si>
    <t>201030000272Ara</t>
  </si>
  <si>
    <t>201030000361Ara</t>
  </si>
  <si>
    <t>201030000128Ara</t>
  </si>
  <si>
    <t>201030000129Ara</t>
  </si>
  <si>
    <t>201030000415Ara</t>
  </si>
  <si>
    <t>201030000405Ara</t>
  </si>
  <si>
    <t>201030000259Ara</t>
  </si>
  <si>
    <t>201030000292Ara</t>
  </si>
  <si>
    <t>201030000120Ara</t>
  </si>
  <si>
    <t>201030000435Ara</t>
  </si>
  <si>
    <t>201030000144Ara</t>
  </si>
  <si>
    <t>221000000791Ara</t>
  </si>
  <si>
    <t>221000000782Ara</t>
  </si>
  <si>
    <t>201030000261Ara</t>
  </si>
  <si>
    <t>201030000126Ara</t>
  </si>
  <si>
    <t>201030000130Ara</t>
  </si>
  <si>
    <t>201030000409Ara</t>
  </si>
  <si>
    <t>201030000416Ara</t>
  </si>
  <si>
    <t>201030000258Ara</t>
  </si>
  <si>
    <t>201030000260Ara</t>
  </si>
  <si>
    <t>201030000199Ara</t>
  </si>
  <si>
    <t>221000000884Ara</t>
  </si>
  <si>
    <t>SOBREMESAS</t>
  </si>
  <si>
    <t>201010000212Ara</t>
  </si>
  <si>
    <t>201010000577Ara</t>
  </si>
  <si>
    <t>201010000598Ara</t>
  </si>
  <si>
    <t>201010000638Ara</t>
  </si>
  <si>
    <t>201010000572Ara</t>
  </si>
  <si>
    <t>201010000602Ara</t>
  </si>
  <si>
    <t>201010000632Ara</t>
  </si>
  <si>
    <t>201010000432Ara</t>
  </si>
  <si>
    <t>201010000507Ara</t>
  </si>
  <si>
    <t>201010000506Ara</t>
  </si>
  <si>
    <t>CONDIMENTOS</t>
  </si>
  <si>
    <t>201010000387Ara</t>
  </si>
  <si>
    <t>201010000625Ara</t>
  </si>
  <si>
    <t>221000000855Ara</t>
  </si>
  <si>
    <t>201010000336Ara</t>
  </si>
  <si>
    <t>201010000591Ara</t>
  </si>
  <si>
    <t>HORTIFRUTI</t>
  </si>
  <si>
    <t>201010000653Ara</t>
  </si>
  <si>
    <t>201010000335Ara</t>
  </si>
  <si>
    <t>DOH João Pessoa – por Categoria</t>
  </si>
  <si>
    <t>221000000780Jpe</t>
  </si>
  <si>
    <t>221000000541Jpe</t>
  </si>
  <si>
    <t>201080000086Jpe</t>
  </si>
  <si>
    <t>201080000005Jpe</t>
  </si>
  <si>
    <t>201010000575Jpe</t>
  </si>
  <si>
    <t>201010000262Jpe</t>
  </si>
  <si>
    <t>201010000368Jpe</t>
  </si>
  <si>
    <t>201010000492Jpe</t>
  </si>
  <si>
    <t>201010000218Jpe</t>
  </si>
  <si>
    <t>201010000209Jpe</t>
  </si>
  <si>
    <t>201010000645Jpe</t>
  </si>
  <si>
    <t>201010000565Jpe</t>
  </si>
  <si>
    <t>201010000684Jpe</t>
  </si>
  <si>
    <t>201010000402Jpe</t>
  </si>
  <si>
    <t>201010000539Jpe</t>
  </si>
  <si>
    <t>201010000654Jpe</t>
  </si>
  <si>
    <t>241000000044Jpe</t>
  </si>
  <si>
    <t>201010000628Jpe</t>
  </si>
  <si>
    <t>201010000527Jpe</t>
  </si>
  <si>
    <t>201010006004Jpe</t>
  </si>
  <si>
    <t>201010000317Jpe</t>
  </si>
  <si>
    <t>201010000417Jpe</t>
  </si>
  <si>
    <t>201010000482Jpe</t>
  </si>
  <si>
    <t>201010000322Jpe</t>
  </si>
  <si>
    <t>201010000406Jpe</t>
  </si>
  <si>
    <t>201010000567Jpe</t>
  </si>
  <si>
    <t>201010000616Jpe</t>
  </si>
  <si>
    <t>201010000324Jpe</t>
  </si>
  <si>
    <t>201010000455Jpe</t>
  </si>
  <si>
    <t>201010000561Jpe</t>
  </si>
  <si>
    <t>201010000562Jpe</t>
  </si>
  <si>
    <t>201010000633Jpe</t>
  </si>
  <si>
    <t>201010000376Jpe</t>
  </si>
  <si>
    <t>201010000617Jpe</t>
  </si>
  <si>
    <t>201030000119Jpe</t>
  </si>
  <si>
    <t>201030000468Jpe</t>
  </si>
  <si>
    <t>201030000215Jpe</t>
  </si>
  <si>
    <t>201030000214Jpe</t>
  </si>
  <si>
    <t>201030000413Jpe</t>
  </si>
  <si>
    <t>201030000356Jpe</t>
  </si>
  <si>
    <t>201030000213Jpe</t>
  </si>
  <si>
    <t>221000000612Jpe</t>
  </si>
  <si>
    <t>221000000617Jpe</t>
  </si>
  <si>
    <t>201030000264Jpe</t>
  </si>
  <si>
    <t>201030000125Jpe</t>
  </si>
  <si>
    <t>201030000304Jpe</t>
  </si>
  <si>
    <t>201030000480Jpe</t>
  </si>
  <si>
    <t>221000000615Jpe</t>
  </si>
  <si>
    <t>201030000111Jpe</t>
  </si>
  <si>
    <t>201030000149Jpe</t>
  </si>
  <si>
    <t>221000000404Jpe</t>
  </si>
  <si>
    <t>201030000104Jpe</t>
  </si>
  <si>
    <t>221000000395Jpe</t>
  </si>
  <si>
    <t>201030000175Jpe</t>
  </si>
  <si>
    <t>201030000379Jpe</t>
  </si>
  <si>
    <t>201030000501Jpe</t>
  </si>
  <si>
    <t>201030000166Jpe</t>
  </si>
  <si>
    <t>201030000500Jpe</t>
  </si>
  <si>
    <t>201030000412Jpe</t>
  </si>
  <si>
    <t>201030000482Jpe</t>
  </si>
  <si>
    <t>201030000411Jpe</t>
  </si>
  <si>
    <t>201030000272Jpe</t>
  </si>
  <si>
    <t>201030000361Jpe</t>
  </si>
  <si>
    <t>201030000128Jpe</t>
  </si>
  <si>
    <t>201030000129Jpe</t>
  </si>
  <si>
    <t>201030000415Jpe</t>
  </si>
  <si>
    <t>201030000405Jpe</t>
  </si>
  <si>
    <t>201030000259Jpe</t>
  </si>
  <si>
    <t>201030000292Jpe</t>
  </si>
  <si>
    <t>201030000120Jpe</t>
  </si>
  <si>
    <t>201030000435Jpe</t>
  </si>
  <si>
    <t>201030000144Jpe</t>
  </si>
  <si>
    <t>221000000791Jpe</t>
  </si>
  <si>
    <t>221000000782Jpe</t>
  </si>
  <si>
    <t>201030000406Jpe</t>
  </si>
  <si>
    <t>201030000261Jpe</t>
  </si>
  <si>
    <t>201030000126Jpe</t>
  </si>
  <si>
    <t>201030000130Jpe</t>
  </si>
  <si>
    <t>201030000409Jpe</t>
  </si>
  <si>
    <t>201030000258Jpe</t>
  </si>
  <si>
    <t>201030000260Jpe</t>
  </si>
  <si>
    <t>201030000199Jpe</t>
  </si>
  <si>
    <t>221000000884Jpe</t>
  </si>
  <si>
    <t>201010000212Jpe</t>
  </si>
  <si>
    <t>201010000577Jpe</t>
  </si>
  <si>
    <t>201010000598Jpe</t>
  </si>
  <si>
    <t>201010000638Jpe</t>
  </si>
  <si>
    <t>201010000572Jpe</t>
  </si>
  <si>
    <t>201010000602Jpe</t>
  </si>
  <si>
    <t>201010000632Jpe</t>
  </si>
  <si>
    <t>201010000432Jpe</t>
  </si>
  <si>
    <t>201010000507Jpe</t>
  </si>
  <si>
    <t>201010000506Jpe</t>
  </si>
  <si>
    <t>201010000387Jpe</t>
  </si>
  <si>
    <t>201010000625Jpe</t>
  </si>
  <si>
    <t>221000000855Jpe</t>
  </si>
  <si>
    <t>201010000336Jpe</t>
  </si>
  <si>
    <t>201010000591Jpe</t>
  </si>
  <si>
    <t>201010000653Jpe</t>
  </si>
  <si>
    <t>201010000335Jpe</t>
  </si>
  <si>
    <t>Marca</t>
  </si>
  <si>
    <t>NBO</t>
  </si>
  <si>
    <t>SAP Consolidado</t>
  </si>
  <si>
    <t>Categorias</t>
  </si>
  <si>
    <t>Item</t>
  </si>
  <si>
    <t>Praça</t>
  </si>
  <si>
    <t>Demanda Nov</t>
  </si>
  <si>
    <t>DOH (Dem Nov)</t>
  </si>
  <si>
    <t>DOH Considerado
(limitado à PE)</t>
  </si>
  <si>
    <t>Estoque considerado (cx)</t>
  </si>
  <si>
    <t>aux fornecedor</t>
  </si>
  <si>
    <t>aux categoria</t>
  </si>
  <si>
    <t>BKB</t>
  </si>
  <si>
    <t xml:space="preserve">NÃO NBO </t>
  </si>
  <si>
    <t xml:space="preserve"> SUCO UVA/ MACA NATURAL ONE 180 ML FD C/6UN </t>
  </si>
  <si>
    <t>NATURALONE</t>
  </si>
  <si>
    <t xml:space="preserve"> PAO BK 5 CL CXG CONG 10500G UNB </t>
  </si>
  <si>
    <t>BIMBO</t>
  </si>
  <si>
    <t xml:space="preserve"> PAO BK 4 CONG CXG 14900G UNB </t>
  </si>
  <si>
    <t xml:space="preserve"> CHICKEN JR CLEAN BK CX 9,88KG </t>
  </si>
  <si>
    <t>SEARA</t>
  </si>
  <si>
    <t xml:space="preserve"> CARNE CONG MOIDA WHOPPER BK CX 17,2KG </t>
  </si>
  <si>
    <t>JBS</t>
  </si>
  <si>
    <t xml:space="preserve"> CARNE HB CONG BKC CX COM 18,7 KG </t>
  </si>
  <si>
    <t xml:space="preserve"> SUCO LARANJA COM MACA FD 12X300ML </t>
  </si>
  <si>
    <t xml:space="preserve"> SUCO UVA MACA 12X300ML PPY/BK </t>
  </si>
  <si>
    <t xml:space="preserve"> CHICKEN NUGGETS CX COM 12 KG </t>
  </si>
  <si>
    <t xml:space="preserve"> MAIONESE BAG CX6X3KG </t>
  </si>
  <si>
    <t>KERRY</t>
  </si>
  <si>
    <t xml:space="preserve"> QUEIJO CHEDDAR CLEAN NAC BK CX 17,66 KG </t>
  </si>
  <si>
    <t>POLENGHI I</t>
  </si>
  <si>
    <t xml:space="preserve"> COPO REFRIG.PP BK 440ML CX 900 UND </t>
  </si>
  <si>
    <t>BO PACK</t>
  </si>
  <si>
    <t xml:space="preserve"> CASQUINHA SORVETE BK - CX COM 300 UND </t>
  </si>
  <si>
    <t>DUPON</t>
  </si>
  <si>
    <t xml:space="preserve"> SACHE KETCHUP BK HEINZ CX 1500X7GR </t>
  </si>
  <si>
    <t>HEINZ</t>
  </si>
  <si>
    <t xml:space="preserve"> BACON PRONTO CONG 1187 UND CX 4KG DIS </t>
  </si>
  <si>
    <t>SEARA2</t>
  </si>
  <si>
    <t xml:space="preserve"> OLEO ESPECIAL SUPREMA BK CX 18KG </t>
  </si>
  <si>
    <t>BUNGE</t>
  </si>
  <si>
    <t xml:space="preserve"> MOLHO STACKER BAG CL BK CX5X1,1KG </t>
  </si>
  <si>
    <t xml:space="preserve"> PAO SUPREMO BK CONG CX 180 UND </t>
  </si>
  <si>
    <t>ETIQ LACRE DE SEGURANCA BKC 79,94X39,93MM</t>
  </si>
  <si>
    <t>ALL4LABELS</t>
  </si>
  <si>
    <t xml:space="preserve"> DOCE DE LEITE BK BISNAGA 1.5KG ELEGE CX4BG </t>
  </si>
  <si>
    <t>LACTALIS1</t>
  </si>
  <si>
    <t xml:space="preserve"> MOLHO BARBECUE BAG MP BK CX COM 5,5 KG </t>
  </si>
  <si>
    <t>MECANOPACK</t>
  </si>
  <si>
    <t xml:space="preserve"> PEPINO FATIADO DRENAD BK CX6X2,300KG </t>
  </si>
  <si>
    <t>REFRICON</t>
  </si>
  <si>
    <t xml:space="preserve"> BEBIDA LACTEA DOCE DE LEITE UHT BK CX10X2UN </t>
  </si>
  <si>
    <t>POLENGHI2</t>
  </si>
  <si>
    <t xml:space="preserve"> SACOLA P/ VIAGEM PCT 500 UN </t>
  </si>
  <si>
    <t>C. CLARO</t>
  </si>
  <si>
    <t xml:space="preserve"> MAIONESE GRANEL SABOR BACON CX5,5KG </t>
  </si>
  <si>
    <t xml:space="preserve"> SACO VIAGEM 12 LIBRAS PCT 1000 UN </t>
  </si>
  <si>
    <t xml:space="preserve"> BROWNIE PICADO SEM NOZES BK 1KG C/4 </t>
  </si>
  <si>
    <t>ALIBEY</t>
  </si>
  <si>
    <t xml:space="preserve"> AGUA MINERAL BURGER KING CX 48 UN </t>
  </si>
  <si>
    <t>FLAMIN</t>
  </si>
  <si>
    <t xml:space="preserve"> CARTONAGEM BATATA MEDIA NOVA BK CX 1600 UND </t>
  </si>
  <si>
    <t>INNOVAPACK</t>
  </si>
  <si>
    <t xml:space="preserve"> GUARDANAPO INTERFOLHADO BK CX 5400 UM </t>
  </si>
  <si>
    <t>MELHORA 1</t>
  </si>
  <si>
    <t xml:space="preserve"> PAO BRIOCHE BK CX 192 UND </t>
  </si>
  <si>
    <t xml:space="preserve"> MOLHO CHEDDAR BNG 2KGX8UN </t>
  </si>
  <si>
    <t>POLENGHI</t>
  </si>
  <si>
    <t xml:space="preserve"> SACO VIAGEM 6 LIBRAS PCT 1000 UN </t>
  </si>
  <si>
    <t xml:space="preserve"> LAMINA WHOPPER BK 2025 FD3000UN </t>
  </si>
  <si>
    <t xml:space="preserve"> KETCHUP A GRANEL BK HEINZ CX 8X2KG </t>
  </si>
  <si>
    <t xml:space="preserve"> LAMINA KING JUNIOR 2025 FD3000UN </t>
  </si>
  <si>
    <t xml:space="preserve"> POTE PAPEL 900 ML BK CD CX COM 500 UND </t>
  </si>
  <si>
    <t xml:space="preserve"> BACON BK ASS CUBOS CX 2X1KG </t>
  </si>
  <si>
    <t>MINERVA</t>
  </si>
  <si>
    <t xml:space="preserve"> FUNDO BANDEJA INSTITUCIONAL BURGER KING CX 2000 UND </t>
  </si>
  <si>
    <t>TRENIER</t>
  </si>
  <si>
    <t xml:space="preserve"> MOSTARDA HEINZ BK SACHE 2304 5G </t>
  </si>
  <si>
    <t xml:space="preserve"> NUTELLA BK CX C/2X3KG </t>
  </si>
  <si>
    <t>FERRERO BR</t>
  </si>
  <si>
    <t xml:space="preserve"> COPO MIX INSTITUCIONAL 290ML BK BO PACK CX 320UN </t>
  </si>
  <si>
    <t xml:space="preserve"> CART BATATA MEDIA DLV (NOVA) CX 500UN </t>
  </si>
  <si>
    <t xml:space="preserve"> LAMINA CHICKEN BK 2025 FD3000UN </t>
  </si>
  <si>
    <t xml:space="preserve"> CALDA MORANGO 6X1,25 CX C/7,5 KG </t>
  </si>
  <si>
    <t>CELLIER</t>
  </si>
  <si>
    <t xml:space="preserve"> COLHER SORVETE PREMIUM BK CX 1000UND </t>
  </si>
  <si>
    <t>SERT PLAST</t>
  </si>
  <si>
    <t xml:space="preserve"> BROWNIE BRIGADEIRO BK CX 24X50 G </t>
  </si>
  <si>
    <t xml:space="preserve"> SACO BK CHICKEN C.C PCT 1000UNDS </t>
  </si>
  <si>
    <t xml:space="preserve"> MOLHO FURIOSO NCM BK 5.5KG CLEAN </t>
  </si>
  <si>
    <t xml:space="preserve"> MISTURA MILK SHAKE BAU BK CX 13,16 </t>
  </si>
  <si>
    <t>DOHLER 01</t>
  </si>
  <si>
    <t xml:space="preserve">TAMPA BK MIX DLV 1000UND </t>
  </si>
  <si>
    <t xml:space="preserve"> CARTONAGEM BATATA GRANDE BK INNOVAPACK CX 1600 UND </t>
  </si>
  <si>
    <t xml:space="preserve"> TENDER CRISPY FILE NOVO BK CX 4X2,5 KG </t>
  </si>
  <si>
    <t>BRF</t>
  </si>
  <si>
    <t xml:space="preserve"> CAIXA THE KINGS BK CX 375 UND 2026 </t>
  </si>
  <si>
    <t xml:space="preserve"> HAMBURGUER REBEL SABOR PICANHA CX 122 UND 12KG </t>
  </si>
  <si>
    <t>PLANTPLUS2</t>
  </si>
  <si>
    <t xml:space="preserve"> TAMPA REFRIGERANTE 440ML NAC BK CX 1800UND </t>
  </si>
  <si>
    <t xml:space="preserve"> COBERTURA CHOCO BK CX 9X1,05 KG CLEAN LABEL </t>
  </si>
  <si>
    <t>CARINO</t>
  </si>
  <si>
    <t xml:space="preserve"> LAMINA BIG KING BKC FD3000UN </t>
  </si>
  <si>
    <t xml:space="preserve"> MAIONESE SACHET SABOR BACON CX C/304 UND </t>
  </si>
  <si>
    <t xml:space="preserve"> OVOMALTINE FLOCOS CX 12X750GR </t>
  </si>
  <si>
    <t>AB BRASIL</t>
  </si>
  <si>
    <t xml:space="preserve"> CEBOLA FRITA CRISPY BENASSI 10X500 GR </t>
  </si>
  <si>
    <t>BENASSI AN</t>
  </si>
  <si>
    <t xml:space="preserve"> MOLHO BARBECUE BLISTER BK MP CX COM 144 UND 28G </t>
  </si>
  <si>
    <t xml:space="preserve"> COPO 550 ML BK DRIVE FSC MIX CREDIT CX COM 1200 UND </t>
  </si>
  <si>
    <t xml:space="preserve"> TAMPA SHAKE BK 440 ML CX COM 900 UND </t>
  </si>
  <si>
    <t>ALTACOPPO</t>
  </si>
  <si>
    <t xml:space="preserve">TEMPERO SAL E PIMENTA BK BLEND 1,01KG </t>
  </si>
  <si>
    <t>KERRY4</t>
  </si>
  <si>
    <t xml:space="preserve"> SACO BK DELIVERY PCT 100 UND </t>
  </si>
  <si>
    <t xml:space="preserve"> COPO CORTESIA ALTA COPPO 200ML CX 2500UND </t>
  </si>
  <si>
    <t xml:space="preserve"> MOLHO FURIOSO BK NCM CX 144 BLISTER 28G UND </t>
  </si>
  <si>
    <t xml:space="preserve"> COOKIE GRANULADO BAUNI CL CX5X1KG </t>
  </si>
  <si>
    <t xml:space="preserve"> CANUDO PAPEL MILK SHAKE 2024 CX 1000 UN </t>
  </si>
  <si>
    <t>PLASTIFAMA</t>
  </si>
  <si>
    <t xml:space="preserve"> PORTA COPOS P/ 2 COPOS BK 550 ML CX C/ 370 UND </t>
  </si>
  <si>
    <t xml:space="preserve"> SAL BK 0,5KG X 20FD </t>
  </si>
  <si>
    <t xml:space="preserve"> COROA BURGUER KING CX 500 UND </t>
  </si>
  <si>
    <t>BRASILGRAF</t>
  </si>
  <si>
    <t xml:space="preserve"> CANUDO PAPEL REFRIGERANTE BK CX 3000UND </t>
  </si>
  <si>
    <t xml:space="preserve"> PIMENTA JALAPENO FAT CLEAN CX6X1,5KG </t>
  </si>
  <si>
    <t xml:space="preserve"> GUARDANAPO EMBALADO BK 20X30 CX 2400 UND </t>
  </si>
  <si>
    <t xml:space="preserve"> GUARDANAPO SORVETE BK 20 X 20 CX 5000 UND </t>
  </si>
  <si>
    <t xml:space="preserve"> MAIONESE VERDE SACHET CX COM 304 UND </t>
  </si>
  <si>
    <t xml:space="preserve"> SACHET MAIONESE CLEAN BK CX 600UND </t>
  </si>
  <si>
    <t xml:space="preserve"> COPO SHAKE 400 ML POLIPAPEL BK CX 900 UND </t>
  </si>
  <si>
    <t xml:space="preserve"> COPO CORTESIA BIO 200ML BK CX 2000 UND </t>
  </si>
  <si>
    <t xml:space="preserve"> MOSTARDA HEINZ BK BAG 8X2KG </t>
  </si>
  <si>
    <t xml:space="preserve"> FUNDO BATATA SUPREMA MEDIA CX 600 UN </t>
  </si>
  <si>
    <t xml:space="preserve"> COPO SHAKE 440ML CX 900 UND </t>
  </si>
  <si>
    <t xml:space="preserve"> COPO SUNDAE BK BLISTER 200ML CX 1000UN </t>
  </si>
  <si>
    <t>BLISTER</t>
  </si>
  <si>
    <t xml:space="preserve"> SAQUINHO DE BATATA BK 22X11FD 6000UND </t>
  </si>
  <si>
    <t xml:space="preserve"> PAZINHA SORVETE BK CX 3000UN BRANCA </t>
  </si>
  <si>
    <t xml:space="preserve"> POTE BK 240ML MOLHAO CX C/600UN </t>
  </si>
  <si>
    <t>TUICIAL</t>
  </si>
  <si>
    <t xml:space="preserve"> TAMPA POTE BK 240ML MOLHAO CX C/600UN </t>
  </si>
  <si>
    <t xml:space="preserve"> COPO SHAKE 440ML BIO BK CX 900UN </t>
  </si>
  <si>
    <t xml:space="preserve"> FUNDO BATATA SUPREMA GRANDE CX 350 UN </t>
  </si>
  <si>
    <t xml:space="preserve"> GARFO SOBREMESA CX 1000 UND </t>
  </si>
  <si>
    <t xml:space="preserve"> KIT GARFO/FACA EMBALADOS </t>
  </si>
  <si>
    <t xml:space="preserve"> TAMPA BALDE BK 900ML CX 1000UN </t>
  </si>
  <si>
    <t xml:space="preserve"> COPO SUNDAE 180 ML POLIPAPEL BK CX 2000 UND </t>
  </si>
  <si>
    <t xml:space="preserve"> TAMPA BATATA SUPREMA MEDIA CX 350 UND </t>
  </si>
  <si>
    <t xml:space="preserve"> TAMPA BATATA SUPREMA GRANDE CX 350 UND </t>
  </si>
  <si>
    <t xml:space="preserve"> TAMPA SUNDAE BK CX C/1200 UND </t>
  </si>
  <si>
    <t xml:space="preserve"> SAL REFINADO SACHE JR CX2500UN 0,8G </t>
  </si>
  <si>
    <t>CART KING JR INSTITUCIONAL CX 200</t>
  </si>
  <si>
    <t xml:space="preserve"> BEBIDA LACTEA UHT BAUNILHA BK 10 L X 2 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</si>
</sst>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charset val="1"/>
    </font>
    <font>
      <b/>
      <sz val="14"/>
      <color rgb="FF1F3864"/>
      <name val="Calibri"/>
      <charset val="1"/>
    </font>
    <font>
      <i/>
      <sz val="9"/>
      <color rgb="FF7F7F7F"/>
      <name val="Calibri"/>
      <charset val="1"/>
    </font>
    <font>
      <b/>
      <sz val="12"/>
      <color rgb="FF1F3864"/>
      <name val="Calibri"/>
      <charset val="1"/>
    </font>
    <font>
      <b/>
      <sz val="9"/>
      <color rgb="FFFFFFFF"/>
      <name val="Calibri"/>
      <charset val="1"/>
    </font>
    <font>
      <b/>
      <sz val="9"/>
      <color rgb="FFFFFFFF"/>
      <name val="Calibri"/>
      <family val="2"/>
      <charset val="1"/>
    </font>
    <font>
      <sz val="10"/>
      <name val="Calibri"/>
      <charset val="1"/>
    </font>
    <font>
      <b/>
      <sz val="11"/>
      <name val="Calibri"/>
      <charset val="1"/>
    </font>
    <font>
      <b/>
      <sz val="10"/>
      <name val="Calibri"/>
      <charset val="1"/>
    </font>
    <font>
      <b/>
      <sz val="9"/>
      <name val="Calibri"/>
      <charset val="1"/>
    </font>
    <font>
      <sz val="9"/>
      <color rgb="FF404040"/>
      <name val="Calibri"/>
      <charset val="1"/>
    </font>
    <font>
      <sz val="8"/>
      <color rgb="FFA6A6A6"/>
      <name val="Calibri"/>
      <charset val="1"/>
    </font>
    <font>
      <sz val="9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9E1F2"/>
        <bgColor rgb="FFDDEBF7"/>
      </patternFill>
    </fill>
    <fill>
      <patternFill patternType="solid">
        <fgColor rgb="FF2F5597"/>
        <bgColor rgb="FF1F3864"/>
      </patternFill>
    </fill>
    <fill>
      <patternFill patternType="solid">
        <fgColor rgb="FFA6A6A6"/>
        <bgColor rgb="FFBFBFBF"/>
      </patternFill>
    </fill>
    <fill>
      <patternFill patternType="solid">
        <fgColor rgb="FFDDEBF7"/>
        <bgColor rgb="FFD9E1F2"/>
      </patternFill>
    </fill>
    <fill>
      <patternFill patternType="solid">
        <fgColor rgb="FFFF0000"/>
        <bgColor rgb="FF9C0006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3" fontId="6" fillId="0" borderId="1" xfId="0" applyNumberFormat="1" applyFont="1" applyBorder="1"/>
    <xf numFmtId="3" fontId="6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3" fontId="8" fillId="3" borderId="2" xfId="0" applyNumberFormat="1" applyFont="1" applyFill="1" applyBorder="1"/>
    <xf numFmtId="3" fontId="8" fillId="3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3" borderId="2" xfId="0" applyFont="1" applyFill="1" applyBorder="1"/>
    <xf numFmtId="164" fontId="8" fillId="3" borderId="2" xfId="0" applyNumberFormat="1" applyFont="1" applyFill="1" applyBorder="1" applyAlignment="1">
      <alignment horizontal="center"/>
    </xf>
    <xf numFmtId="0" fontId="9" fillId="0" borderId="0" xfId="0" applyFont="1"/>
    <xf numFmtId="0" fontId="4" fillId="5" borderId="0" xfId="0" applyFont="1" applyFill="1" applyAlignment="1">
      <alignment horizontal="center" vertical="center" wrapText="1"/>
    </xf>
    <xf numFmtId="0" fontId="8" fillId="6" borderId="3" xfId="0" applyFont="1" applyFill="1" applyBorder="1"/>
    <xf numFmtId="1" fontId="8" fillId="6" borderId="3" xfId="0" applyNumberFormat="1" applyFont="1" applyFill="1" applyBorder="1" applyAlignment="1">
      <alignment horizontal="center"/>
    </xf>
    <xf numFmtId="3" fontId="8" fillId="6" borderId="3" xfId="0" applyNumberFormat="1" applyFont="1" applyFill="1" applyBorder="1" applyAlignment="1">
      <alignment horizontal="center"/>
    </xf>
    <xf numFmtId="164" fontId="8" fillId="6" borderId="3" xfId="0" applyNumberFormat="1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10" fillId="0" borderId="1" xfId="0" applyFont="1" applyBorder="1" applyAlignment="1">
      <alignment indent="2"/>
    </xf>
    <xf numFmtId="0" fontId="10" fillId="0" borderId="1" xfId="0" applyFont="1" applyBorder="1"/>
    <xf numFmtId="1" fontId="10" fillId="0" borderId="1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8" fillId="3" borderId="2" xfId="0" applyNumberFormat="1" applyFont="1" applyFill="1" applyBorder="1"/>
    <xf numFmtId="164" fontId="8" fillId="3" borderId="2" xfId="0" applyNumberFormat="1" applyFont="1" applyFill="1" applyBorder="1"/>
    <xf numFmtId="1" fontId="0" fillId="0" borderId="0" xfId="0" applyNumberFormat="1"/>
    <xf numFmtId="1" fontId="4" fillId="2" borderId="0" xfId="0" applyNumberFormat="1" applyFont="1" applyFill="1" applyAlignment="1">
      <alignment horizontal="center" vertical="center" wrapText="1"/>
    </xf>
    <xf numFmtId="0" fontId="12" fillId="0" borderId="0" xfId="0" applyFont="1"/>
    <xf numFmtId="1" fontId="12" fillId="0" borderId="0" xfId="0" applyNumberFormat="1" applyFont="1"/>
    <xf numFmtId="3" fontId="12" fillId="0" borderId="0" xfId="0" applyNumberFormat="1" applyFont="1"/>
    <xf numFmtId="164" fontId="12" fillId="0" borderId="0" xfId="0" applyNumberFormat="1" applyFont="1"/>
    <xf numFmtId="164" fontId="9" fillId="0" borderId="0" xfId="0" applyNumberFormat="1" applyFont="1"/>
    <xf numFmtId="2" fontId="11" fillId="0" borderId="0" xfId="0" applyNumberFormat="1" applyFont="1"/>
    <xf numFmtId="0" fontId="12" fillId="7" borderId="0" xfId="0" applyFont="1" applyFill="1"/>
    <xf numFmtId="164" fontId="0" fillId="0" borderId="0" xfId="0" applyNumberFormat="1"/>
    <xf numFmtId="0" fontId="5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BC2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C5700"/>
      <rgbColor rgb="FF993366"/>
      <rgbColor rgb="FF2F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71"/>
  <sheetViews>
    <sheetView showGridLines="0" tabSelected="1" zoomScaleNormal="100" workbookViewId="0">
      <pane ySplit="3" topLeftCell="A4" activePane="bottomLeft" state="frozen"/>
      <selection pane="bottomLeft" activeCell="J32" sqref="J32"/>
    </sheetView>
  </sheetViews>
  <sheetFormatPr defaultColWidth="8.6328125" defaultRowHeight="14.5" x14ac:dyDescent="0.35"/>
  <cols>
    <col min="1" max="1" width="2" customWidth="1"/>
    <col min="2" max="2" width="22" customWidth="1"/>
    <col min="3" max="8" width="12" customWidth="1"/>
    <col min="9" max="9" width="3" customWidth="1"/>
  </cols>
  <sheetData>
    <row r="2" spans="2:8" ht="18" customHeight="1" x14ac:dyDescent="0.45">
      <c r="B2" s="1" t="s">
        <v>0</v>
      </c>
    </row>
    <row r="3" spans="2:8" ht="14.25" customHeight="1" x14ac:dyDescent="0.35">
      <c r="B3" s="2"/>
    </row>
    <row r="5" spans="2:8" ht="15" customHeight="1" x14ac:dyDescent="0.35">
      <c r="B5" s="3" t="s">
        <v>1</v>
      </c>
    </row>
    <row r="6" spans="2:8" ht="30" customHeight="1" x14ac:dyDescent="0.35">
      <c r="B6" s="4" t="s">
        <v>2</v>
      </c>
      <c r="C6" s="4" t="s">
        <v>3</v>
      </c>
      <c r="D6" s="4" t="s">
        <v>4</v>
      </c>
      <c r="E6" s="5" t="s">
        <v>5</v>
      </c>
    </row>
    <row r="7" spans="2:8" ht="14.25" customHeight="1" x14ac:dyDescent="0.35">
      <c r="B7" s="6" t="s">
        <v>6</v>
      </c>
      <c r="C7" s="7">
        <f>SUMIFS(Base!$P$3:$P$980,Base!$J$3:$J$980,"Ara")</f>
        <v>41627.845297920889</v>
      </c>
      <c r="D7" s="7">
        <f>SUMIFS(Base!$L$3:$L$980,Base!$J$3:$J$980,"Ara")</f>
        <v>3289.4847073203118</v>
      </c>
      <c r="E7" s="8">
        <f>IFERROR(C7/D7,0)</f>
        <v>12.654822563936424</v>
      </c>
    </row>
    <row r="8" spans="2:8" ht="14.25" customHeight="1" x14ac:dyDescent="0.35">
      <c r="B8" s="6" t="s">
        <v>7</v>
      </c>
      <c r="C8" s="7">
        <f>SUMIFS(Base!$P$3:$P$980,Base!$J$3:$J$980,"Jpe")</f>
        <v>19446.246609449328</v>
      </c>
      <c r="D8" s="7">
        <f>SUMIFS(Base!$L$3:$L$980,Base!$J$3:$J$980,"Jpe")</f>
        <v>1749.4653562411622</v>
      </c>
      <c r="E8" s="8">
        <f>IFERROR(C8/D8,0)</f>
        <v>11.1155368353397</v>
      </c>
    </row>
    <row r="9" spans="2:8" ht="14.25" customHeight="1" x14ac:dyDescent="0.35">
      <c r="B9" s="9" t="s">
        <v>8</v>
      </c>
      <c r="C9" s="10">
        <f>SUM(C7:C8)</f>
        <v>61074.091907370217</v>
      </c>
      <c r="D9" s="10">
        <f>SUM(D7:D8)</f>
        <v>5038.9500635614741</v>
      </c>
      <c r="E9" s="11">
        <f>IFERROR(C9/D9,0)</f>
        <v>12.120400308988918</v>
      </c>
    </row>
    <row r="11" spans="2:8" ht="15" customHeight="1" x14ac:dyDescent="0.35">
      <c r="B11" s="3" t="s">
        <v>9</v>
      </c>
    </row>
    <row r="12" spans="2:8" ht="15" customHeight="1" x14ac:dyDescent="0.35">
      <c r="B12" s="3"/>
    </row>
    <row r="13" spans="2:8" ht="15" customHeight="1" x14ac:dyDescent="0.35">
      <c r="C13" s="43" t="s">
        <v>10</v>
      </c>
      <c r="D13" s="43"/>
      <c r="E13" s="43"/>
      <c r="F13" s="44"/>
      <c r="G13" s="44"/>
      <c r="H13" s="44"/>
    </row>
    <row r="14" spans="2:8" ht="30" customHeight="1" x14ac:dyDescent="0.35">
      <c r="B14" s="4" t="s">
        <v>11</v>
      </c>
      <c r="C14" s="4" t="s">
        <v>12</v>
      </c>
      <c r="D14" s="4" t="s">
        <v>13</v>
      </c>
      <c r="E14" s="4" t="s">
        <v>14</v>
      </c>
    </row>
    <row r="15" spans="2:8" ht="14.25" customHeight="1" x14ac:dyDescent="0.35">
      <c r="B15" s="12" t="str">
        <f>IFERROR(INDEX(Base!$G$3:$G$980,MATCH(SMALL(Base!$R$3:$R$980,1),Base!$R$3:$R$980,0)),"")</f>
        <v>PÃES</v>
      </c>
      <c r="C15" s="13">
        <f>IF($B15="","",IFERROR(SUMIFS(Base!$P$3:$P$980,Base!$G$3:$G$980,$B15,Base!$J$3:$J$980,"Ara")/SUMIFS(Base!$L$3:$L$980,Base!$G$3:$G$980,$B15,Base!$J$3:$J$980,"Ara"),""))</f>
        <v>7.8057791650218844</v>
      </c>
      <c r="D15" s="13">
        <f>IF($B15="","",IFERROR(SUMIFS(Base!$P$3:$P$980,Base!$G$3:$G$980,$B15,Base!$J$3:$J$980,"Jpe")/SUMIFS(Base!$L$3:$L$980,Base!$G$3:$G$980,$B15,Base!$J$3:$J$980,"Jpe"),""))</f>
        <v>4.9281656779679963</v>
      </c>
      <c r="E15" s="14">
        <f>IF($B15="","",IFERROR(SUMIFS(Base!$P$3:$P$980,Base!$G$3:$G$980,$B15)/SUMIFS(Base!$L$3:$L$980,Base!$G$3:$G$980,$B15),""))</f>
        <v>6.7995767336862718</v>
      </c>
    </row>
    <row r="16" spans="2:8" ht="14.25" customHeight="1" x14ac:dyDescent="0.35">
      <c r="B16" s="12" t="str">
        <f>IFERROR(INDEX(Base!$G$3:$G$980,MATCH(SMALL(Base!$R$3:$R$980,2),Base!$R$3:$R$980,0)),"")</f>
        <v>PROTEINAS</v>
      </c>
      <c r="C16" s="13">
        <f>IF($B16="","",IFERROR(SUMIFS(Base!$P$3:$P$980,Base!$G$3:$G$980,$B16,Base!$J$3:$J$980,"Ara")/SUMIFS(Base!$L$3:$L$980,Base!$G$3:$G$980,$B16,Base!$J$3:$J$980,"Ara"),""))</f>
        <v>9.973929271444268</v>
      </c>
      <c r="D16" s="13">
        <f>IF($B16="","",IFERROR(SUMIFS(Base!$P$3:$P$980,Base!$G$3:$G$980,$B16,Base!$J$3:$J$980,"Jpe")/SUMIFS(Base!$L$3:$L$980,Base!$G$3:$G$980,$B16,Base!$J$3:$J$980,"Jpe"),""))</f>
        <v>9.6034715827618395</v>
      </c>
      <c r="E16" s="14">
        <f>IF($B16="","",IFERROR(SUMIFS(Base!$P$3:$P$980,Base!$G$3:$G$980,$B16)/SUMIFS(Base!$L$3:$L$980,Base!$G$3:$G$980,$B16),""))</f>
        <v>9.8520173577356616</v>
      </c>
    </row>
    <row r="17" spans="2:5" ht="14.25" customHeight="1" x14ac:dyDescent="0.35">
      <c r="B17" s="12" t="str">
        <f>IFERROR(INDEX(Base!$G$3:$G$980,MATCH(SMALL(Base!$R$3:$R$980,3),Base!$R$3:$R$980,0)),"")</f>
        <v>LÁCTEOS</v>
      </c>
      <c r="C17" s="13">
        <f>IF($B17="","",IFERROR(SUMIFS(Base!$P$3:$P$980,Base!$G$3:$G$980,$B17,Base!$J$3:$J$980,"Ara")/SUMIFS(Base!$L$3:$L$980,Base!$G$3:$G$980,$B17,Base!$J$3:$J$980,"Ara"),""))</f>
        <v>9.6950831941965241</v>
      </c>
      <c r="D17" s="13">
        <f>IF($B17="","",IFERROR(SUMIFS(Base!$P$3:$P$980,Base!$G$3:$G$980,$B17,Base!$J$3:$J$980,"Jpe")/SUMIFS(Base!$L$3:$L$980,Base!$G$3:$G$980,$B17,Base!$J$3:$J$980,"Jpe"),""))</f>
        <v>12.350610916979999</v>
      </c>
      <c r="E17" s="14">
        <f>IF($B17="","",IFERROR(SUMIFS(Base!$P$3:$P$980,Base!$G$3:$G$980,$B17)/SUMIFS(Base!$L$3:$L$980,Base!$G$3:$G$980,$B17),""))</f>
        <v>10.341619034544918</v>
      </c>
    </row>
    <row r="18" spans="2:5" ht="14.25" customHeight="1" x14ac:dyDescent="0.35">
      <c r="B18" s="12" t="str">
        <f>IFERROR(INDEX(Base!$G$3:$G$980,MATCH(SMALL(Base!$R$3:$R$980,4),Base!$R$3:$R$980,0)),"")</f>
        <v>SOBREMESAS</v>
      </c>
      <c r="C18" s="13">
        <f>IF($B18="","",IFERROR(SUMIFS(Base!$P$3:$P$980,Base!$G$3:$G$980,$B18,Base!$J$3:$J$980,"Ara")/SUMIFS(Base!$L$3:$L$980,Base!$G$3:$G$980,$B18,Base!$J$3:$J$980,"Ara"),""))</f>
        <v>11.29143669000886</v>
      </c>
      <c r="D18" s="13">
        <f>IF($B18="","",IFERROR(SUMIFS(Base!$P$3:$P$980,Base!$G$3:$G$980,$B18,Base!$J$3:$J$980,"Jpe")/SUMIFS(Base!$L$3:$L$980,Base!$G$3:$G$980,$B18,Base!$J$3:$J$980,"Jpe"),""))</f>
        <v>13.765228547469302</v>
      </c>
      <c r="E18" s="14">
        <f>IF($B18="","",IFERROR(SUMIFS(Base!$P$3:$P$980,Base!$G$3:$G$980,$B18)/SUMIFS(Base!$L$3:$L$980,Base!$G$3:$G$980,$B18),""))</f>
        <v>12.513606680805065</v>
      </c>
    </row>
    <row r="19" spans="2:5" ht="14.25" customHeight="1" x14ac:dyDescent="0.35">
      <c r="B19" s="12" t="str">
        <f>IFERROR(INDEX(Base!$G$3:$G$980,MATCH(SMALL(Base!$R$3:$R$980,5),Base!$R$3:$R$980,0)),"")</f>
        <v>EMBALAGENS</v>
      </c>
      <c r="C19" s="13">
        <f>IF($B19="","",IFERROR(SUMIFS(Base!$P$3:$P$980,Base!$G$3:$G$980,$B19,Base!$J$3:$J$980,"Ara")/SUMIFS(Base!$L$3:$L$980,Base!$G$3:$G$980,$B19,Base!$J$3:$J$980,"Ara"),""))</f>
        <v>16.249837752885195</v>
      </c>
      <c r="D19" s="13">
        <f>IF($B19="","",IFERROR(SUMIFS(Base!$P$3:$P$980,Base!$G$3:$G$980,$B19,Base!$J$3:$J$980,"Jpe")/SUMIFS(Base!$L$3:$L$980,Base!$G$3:$G$980,$B19,Base!$J$3:$J$980,"Jpe"),""))</f>
        <v>11.968507028817715</v>
      </c>
      <c r="E19" s="14">
        <f>IF($B19="","",IFERROR(SUMIFS(Base!$P$3:$P$980,Base!$G$3:$G$980,$B19)/SUMIFS(Base!$L$3:$L$980,Base!$G$3:$G$980,$B19),""))</f>
        <v>14.458771268386773</v>
      </c>
    </row>
    <row r="20" spans="2:5" ht="14.25" customHeight="1" x14ac:dyDescent="0.35">
      <c r="B20" s="12" t="str">
        <f>IFERROR(INDEX(Base!$G$3:$G$980,MATCH(SMALL(Base!$R$3:$R$980,6),Base!$R$3:$R$980,0)),"")</f>
        <v>HORTIFRUTI</v>
      </c>
      <c r="C20" s="13">
        <f>IF($B20="","",IFERROR(SUMIFS(Base!$P$3:$P$980,Base!$G$3:$G$980,$B20,Base!$J$3:$J$980,"Ara")/SUMIFS(Base!$L$3:$L$980,Base!$G$3:$G$980,$B20,Base!$J$3:$J$980,"Ara"),""))</f>
        <v>13.729383912452967</v>
      </c>
      <c r="D20" s="13">
        <f>IF($B20="","",IFERROR(SUMIFS(Base!$P$3:$P$980,Base!$G$3:$G$980,$B20,Base!$J$3:$J$980,"Jpe")/SUMIFS(Base!$L$3:$L$980,Base!$G$3:$G$980,$B20,Base!$J$3:$J$980,"Jpe"),""))</f>
        <v>16.63016926350976</v>
      </c>
      <c r="E20" s="14">
        <f>IF($B20="","",IFERROR(SUMIFS(Base!$P$3:$P$980,Base!$G$3:$G$980,$B20)/SUMIFS(Base!$L$3:$L$980,Base!$G$3:$G$980,$B20),""))</f>
        <v>14.610593825856634</v>
      </c>
    </row>
    <row r="21" spans="2:5" ht="14.25" customHeight="1" x14ac:dyDescent="0.35">
      <c r="B21" s="12" t="str">
        <f>IFERROR(INDEX(Base!$G$3:$G$980,MATCH(SMALL(Base!$R$3:$R$980,7),Base!$R$3:$R$980,0)),"")</f>
        <v>CONDIMENTOS</v>
      </c>
      <c r="C21" s="13">
        <f>IF($B21="","",IFERROR(SUMIFS(Base!$P$3:$P$980,Base!$G$3:$G$980,$B21,Base!$J$3:$J$980,"Ara")/SUMIFS(Base!$L$3:$L$980,Base!$G$3:$G$980,$B21,Base!$J$3:$J$980,"Ara"),""))</f>
        <v>17.78097374280221</v>
      </c>
      <c r="D21" s="13">
        <f>IF($B21="","",IFERROR(SUMIFS(Base!$P$3:$P$980,Base!$G$3:$G$980,$B21,Base!$J$3:$J$980,"Jpe")/SUMIFS(Base!$L$3:$L$980,Base!$G$3:$G$980,$B21,Base!$J$3:$J$980,"Jpe"),""))</f>
        <v>13.03367120469977</v>
      </c>
      <c r="E21" s="14">
        <f>IF($B21="","",IFERROR(SUMIFS(Base!$P$3:$P$980,Base!$G$3:$G$980,$B21)/SUMIFS(Base!$L$3:$L$980,Base!$G$3:$G$980,$B21),""))</f>
        <v>16.130461443609562</v>
      </c>
    </row>
    <row r="22" spans="2:5" ht="14.25" customHeight="1" x14ac:dyDescent="0.35">
      <c r="B22" s="12" t="str">
        <f>IFERROR(INDEX(Base!$G$3:$G$980,MATCH(SMALL(Base!$R$3:$R$980,8),Base!$R$3:$R$980,0)),"")</f>
        <v>MOLHOS</v>
      </c>
      <c r="C22" s="13">
        <f>IF($B22="","",IFERROR(SUMIFS(Base!$P$3:$P$980,Base!$G$3:$G$980,$B22,Base!$J$3:$J$980,"Ara")/SUMIFS(Base!$L$3:$L$980,Base!$G$3:$G$980,$B22,Base!$J$3:$J$980,"Ara"),""))</f>
        <v>19.063392063374813</v>
      </c>
      <c r="D22" s="13">
        <f>IF($B22="","",IFERROR(SUMIFS(Base!$P$3:$P$980,Base!$G$3:$G$980,$B22,Base!$J$3:$J$980,"Jpe")/SUMIFS(Base!$L$3:$L$980,Base!$G$3:$G$980,$B22,Base!$J$3:$J$980,"Jpe"),""))</f>
        <v>13.415925120850634</v>
      </c>
      <c r="E22" s="14">
        <f>IF($B22="","",IFERROR(SUMIFS(Base!$P$3:$P$980,Base!$G$3:$G$980,$B22)/SUMIFS(Base!$L$3:$L$980,Base!$G$3:$G$980,$B22),""))</f>
        <v>17.046129350358214</v>
      </c>
    </row>
    <row r="23" spans="2:5" ht="14.25" customHeight="1" x14ac:dyDescent="0.35">
      <c r="B23" s="12" t="str">
        <f>IFERROR(INDEX(Base!$G$3:$G$980,MATCH(SMALL(Base!$R$3:$R$980,9),Base!$R$3:$R$980,0)),"")</f>
        <v>BEBIDAS</v>
      </c>
      <c r="C23" s="13">
        <f>IF($B23="","",IFERROR(SUMIFS(Base!$P$3:$P$980,Base!$G$3:$G$980,$B23,Base!$J$3:$J$980,"Ara")/SUMIFS(Base!$L$3:$L$980,Base!$G$3:$G$980,$B23,Base!$J$3:$J$980,"Ara"),""))</f>
        <v>19.542407082446015</v>
      </c>
      <c r="D23" s="13">
        <f>IF($B23="","",IFERROR(SUMIFS(Base!$P$3:$P$980,Base!$G$3:$G$980,$B23,Base!$J$3:$J$980,"Jpe")/SUMIFS(Base!$L$3:$L$980,Base!$G$3:$G$980,$B23,Base!$J$3:$J$980,"Jpe"),""))</f>
        <v>17.2075996501346</v>
      </c>
      <c r="E23" s="14">
        <f>IF($B23="","",IFERROR(SUMIFS(Base!$P$3:$P$980,Base!$G$3:$G$980,$B23)/SUMIFS(Base!$L$3:$L$980,Base!$G$3:$G$980,$B23),""))</f>
        <v>18.783914612357378</v>
      </c>
    </row>
    <row r="24" spans="2:5" ht="14.25" customHeight="1" x14ac:dyDescent="0.35">
      <c r="B24" s="15" t="s">
        <v>8</v>
      </c>
      <c r="C24" s="16">
        <f>IFERROR(SUMIFS(Base!$P$3:$P$980,Base!$J$3:$J$980,"Ara")/SUMIFS(Base!$L$3:$L$980,Base!$J$3:$J$980,"Ara"),"")</f>
        <v>12.654822563936424</v>
      </c>
      <c r="D24" s="16">
        <f>IFERROR(SUMIFS(Base!$P$3:$P$980,Base!$J$3:$J$980,"Jpe")/SUMIFS(Base!$L$3:$L$980,Base!$J$3:$J$980,"Jpe"),"")</f>
        <v>11.1155368353397</v>
      </c>
      <c r="E24" s="16">
        <f>IFERROR(SUM(Base!$P$3:$P$980)/SUM(Base!$L$3:$L$980),"")</f>
        <v>12.120400308988931</v>
      </c>
    </row>
    <row r="27" spans="2:5" ht="15" customHeight="1" x14ac:dyDescent="0.35">
      <c r="B27" s="3" t="s">
        <v>15</v>
      </c>
    </row>
    <row r="28" spans="2:5" ht="15" customHeight="1" x14ac:dyDescent="0.35">
      <c r="C28" s="43" t="s">
        <v>10</v>
      </c>
      <c r="D28" s="43"/>
      <c r="E28" s="43"/>
    </row>
    <row r="29" spans="2:5" ht="30" customHeight="1" x14ac:dyDescent="0.35">
      <c r="B29" s="4" t="s">
        <v>16</v>
      </c>
      <c r="C29" s="4" t="s">
        <v>12</v>
      </c>
      <c r="D29" s="4" t="s">
        <v>13</v>
      </c>
      <c r="E29" s="4" t="s">
        <v>14</v>
      </c>
    </row>
    <row r="30" spans="2:5" ht="14.25" customHeight="1" x14ac:dyDescent="0.35">
      <c r="B30" s="12" t="str">
        <f>IFERROR(INDEX(Base!$I$3:$I$980,MATCH(SMALL(Base!$Q$3:$Q$980,1),Base!$Q$3:$Q$980,0)),"")</f>
        <v>AB BRASIL</v>
      </c>
      <c r="C30" s="13">
        <f>IF($B30="","",IFERROR(SUMIFS(Base!$P$3:$P$980,Base!$I$3:$I$980,$B30,Base!$J$3:$J$980,"Ara")/SUMIFS(Base!$L$3:$L$980,Base!$I$3:$I$980,$B30,Base!$J$3:$J$980,"Ara"),""))</f>
        <v>0</v>
      </c>
      <c r="D30" s="13">
        <f>IF($B30="","",IFERROR(SUMIFS(Base!$P$3:$P$980,Base!$I$3:$I$980,$B30,Base!$J$3:$J$980,"Jpe")/SUMIFS(Base!$L$3:$L$980,Base!$I$3:$I$980,$B30,Base!$J$3:$J$980,"Jpe"),""))</f>
        <v>-0.48722277198954511</v>
      </c>
      <c r="E30" s="14">
        <f>IF($B30="","",IFERROR(SUMIFS(Base!$P$3:$P$980,Base!$I$3:$I$980,$B30)/SUMIFS(Base!$L$3:$L$980,Base!$I$3:$I$980,$B30),""))</f>
        <v>-0.22908410150884564</v>
      </c>
    </row>
    <row r="31" spans="2:5" ht="14.25" customHeight="1" x14ac:dyDescent="0.35">
      <c r="B31" s="12" t="str">
        <f>IFERROR(INDEX(Base!$I$3:$I$980,MATCH(SMALL(Base!$Q$3:$Q$980,2),Base!$Q$3:$Q$980,0)),"")</f>
        <v>CELLIER</v>
      </c>
      <c r="C31" s="13">
        <f>IF($B31="","",IFERROR(SUMIFS(Base!$P$3:$P$980,Base!$I$3:$I$980,$B31,Base!$J$3:$J$980,"Ara")/SUMIFS(Base!$L$3:$L$980,Base!$I$3:$I$980,$B31,Base!$J$3:$J$980,"Ara"),""))</f>
        <v>0.94362611482377134</v>
      </c>
      <c r="D31" s="13">
        <f>IF($B31="","",IFERROR(SUMIFS(Base!$P$3:$P$980,Base!$I$3:$I$980,$B31,Base!$J$3:$J$980,"Jpe")/SUMIFS(Base!$L$3:$L$980,Base!$I$3:$I$980,$B31,Base!$J$3:$J$980,"Jpe"),""))</f>
        <v>10.623584847955057</v>
      </c>
      <c r="E31" s="14">
        <f>IF($B31="","",IFERROR(SUMIFS(Base!$P$3:$P$980,Base!$I$3:$I$980,$B31)/SUMIFS(Base!$L$3:$L$980,Base!$I$3:$I$980,$B31),""))</f>
        <v>5.8698302738546895</v>
      </c>
    </row>
    <row r="32" spans="2:5" ht="14.25" customHeight="1" x14ac:dyDescent="0.35">
      <c r="B32" s="12" t="str">
        <f>IFERROR(INDEX(Base!$I$3:$I$980,MATCH(SMALL(Base!$Q$3:$Q$980,3),Base!$Q$3:$Q$980,0)),"")</f>
        <v>BIMBO</v>
      </c>
      <c r="C32" s="13">
        <f>IF($B32="","",IFERROR(SUMIFS(Base!$P$3:$P$980,Base!$I$3:$I$980,$B32,Base!$J$3:$J$980,"Ara")/SUMIFS(Base!$L$3:$L$980,Base!$I$3:$I$980,$B32,Base!$J$3:$J$980,"Ara"),""))</f>
        <v>7.8057791650218844</v>
      </c>
      <c r="D32" s="13">
        <f>IF($B32="","",IFERROR(SUMIFS(Base!$P$3:$P$980,Base!$I$3:$I$980,$B32,Base!$J$3:$J$980,"Jpe")/SUMIFS(Base!$L$3:$L$980,Base!$I$3:$I$980,$B32,Base!$J$3:$J$980,"Jpe"),""))</f>
        <v>4.9281656779679963</v>
      </c>
      <c r="E32" s="14">
        <f>IF($B32="","",IFERROR(SUMIFS(Base!$P$3:$P$980,Base!$I$3:$I$980,$B32)/SUMIFS(Base!$L$3:$L$980,Base!$I$3:$I$980,$B32),""))</f>
        <v>6.7995767336862718</v>
      </c>
    </row>
    <row r="33" spans="2:5" ht="14.25" customHeight="1" x14ac:dyDescent="0.35">
      <c r="B33" s="12" t="str">
        <f>IFERROR(INDEX(Base!$I$3:$I$980,MATCH(SMALL(Base!$Q$3:$Q$980,4),Base!$Q$3:$Q$980,0)),"")</f>
        <v>CARINO</v>
      </c>
      <c r="C33" s="13">
        <f>IF($B33="","",IFERROR(SUMIFS(Base!$P$3:$P$980,Base!$I$3:$I$980,$B33,Base!$J$3:$J$980,"Ara")/SUMIFS(Base!$L$3:$L$980,Base!$I$3:$I$980,$B33,Base!$J$3:$J$980,"Ara"),""))</f>
        <v>1.1780090926091065</v>
      </c>
      <c r="D33" s="13">
        <f>IF($B33="","",IFERROR(SUMIFS(Base!$P$3:$P$980,Base!$I$3:$I$980,$B33,Base!$J$3:$J$980,"Jpe")/SUMIFS(Base!$L$3:$L$980,Base!$I$3:$I$980,$B33,Base!$J$3:$J$980,"Jpe"),""))</f>
        <v>13.534770031301338</v>
      </c>
      <c r="E33" s="14">
        <f>IF($B33="","",IFERROR(SUMIFS(Base!$P$3:$P$980,Base!$I$3:$I$980,$B33)/SUMIFS(Base!$L$3:$L$980,Base!$I$3:$I$980,$B33),""))</f>
        <v>6.8550016998464818</v>
      </c>
    </row>
    <row r="34" spans="2:5" ht="14.25" customHeight="1" x14ac:dyDescent="0.35">
      <c r="B34" s="12" t="str">
        <f>IFERROR(INDEX(Base!$I$3:$I$980,MATCH(SMALL(Base!$Q$3:$Q$980,5),Base!$Q$3:$Q$980,0)),"")</f>
        <v>JBS</v>
      </c>
      <c r="C34" s="13">
        <f>IF($B34="","",IFERROR(SUMIFS(Base!$P$3:$P$980,Base!$I$3:$I$980,$B34,Base!$J$3:$J$980,"Ara")/SUMIFS(Base!$L$3:$L$980,Base!$I$3:$I$980,$B34,Base!$J$3:$J$980,"Ara"),""))</f>
        <v>6.9999999999999991</v>
      </c>
      <c r="D34" s="13">
        <f>IF($B34="","",IFERROR(SUMIFS(Base!$P$3:$P$980,Base!$I$3:$I$980,$B34,Base!$J$3:$J$980,"Jpe")/SUMIFS(Base!$L$3:$L$980,Base!$I$3:$I$980,$B34,Base!$J$3:$J$980,"Jpe"),""))</f>
        <v>7.0000000000000009</v>
      </c>
      <c r="E34" s="14">
        <f>IF($B34="","",IFERROR(SUMIFS(Base!$P$3:$P$980,Base!$I$3:$I$980,$B34)/SUMIFS(Base!$L$3:$L$980,Base!$I$3:$I$980,$B34),""))</f>
        <v>7.0000000000000009</v>
      </c>
    </row>
    <row r="35" spans="2:5" ht="14.25" customHeight="1" x14ac:dyDescent="0.35">
      <c r="B35" s="12" t="str">
        <f>IFERROR(INDEX(Base!$I$3:$I$980,MATCH(SMALL(Base!$Q$3:$Q$980,6),Base!$Q$3:$Q$980,0)),"")</f>
        <v>DOHLER 01</v>
      </c>
      <c r="C35" s="13">
        <f>IF($B35="","",IFERROR(SUMIFS(Base!$P$3:$P$980,Base!$I$3:$I$980,$B35,Base!$J$3:$J$980,"Ara")/SUMIFS(Base!$L$3:$L$980,Base!$I$3:$I$980,$B35,Base!$J$3:$J$980,"Ara"),""))</f>
        <v>10.755816751856909</v>
      </c>
      <c r="D35" s="13">
        <f>IF($B35="","",IFERROR(SUMIFS(Base!$P$3:$P$980,Base!$I$3:$I$980,$B35,Base!$J$3:$J$980,"Jpe")/SUMIFS(Base!$L$3:$L$980,Base!$I$3:$I$980,$B35,Base!$J$3:$J$980,"Jpe"),""))</f>
        <v>3.6108931704447427</v>
      </c>
      <c r="E35" s="14">
        <f>IF($B35="","",IFERROR(SUMIFS(Base!$P$3:$P$980,Base!$I$3:$I$980,$B35)/SUMIFS(Base!$L$3:$L$980,Base!$I$3:$I$980,$B35),""))</f>
        <v>7.2381008705617136</v>
      </c>
    </row>
    <row r="36" spans="2:5" ht="14.25" customHeight="1" x14ac:dyDescent="0.35">
      <c r="B36" s="12" t="str">
        <f>IFERROR(INDEX(Base!$I$3:$I$980,MATCH(SMALL(Base!$Q$3:$Q$980,7),Base!$Q$3:$Q$980,0)),"")</f>
        <v>POLENGHI2</v>
      </c>
      <c r="C36" s="13">
        <f>IF($B36="","",IFERROR(SUMIFS(Base!$P$3:$P$980,Base!$I$3:$I$980,$B36,Base!$J$3:$J$980,"Ara")/SUMIFS(Base!$L$3:$L$980,Base!$I$3:$I$980,$B36,Base!$J$3:$J$980,"Ara"),""))</f>
        <v>7.0835446573171632</v>
      </c>
      <c r="D36" s="13">
        <f>IF($B36="","",IFERROR(SUMIFS(Base!$P$3:$P$980,Base!$I$3:$I$980,$B36,Base!$J$3:$J$980,"Jpe")/SUMIFS(Base!$L$3:$L$980,Base!$I$3:$I$980,$B36,Base!$J$3:$J$980,"Jpe"),""))</f>
        <v>13.360212627603831</v>
      </c>
      <c r="E36" s="14">
        <f>IF($B36="","",IFERROR(SUMIFS(Base!$P$3:$P$980,Base!$I$3:$I$980,$B36)/SUMIFS(Base!$L$3:$L$980,Base!$I$3:$I$980,$B36),""))</f>
        <v>7.9816330899905923</v>
      </c>
    </row>
    <row r="37" spans="2:5" ht="14.25" customHeight="1" x14ac:dyDescent="0.35">
      <c r="B37" s="12" t="str">
        <f>IFERROR(INDEX(Base!$I$3:$I$980,MATCH(SMALL(Base!$Q$3:$Q$980,8),Base!$Q$3:$Q$980,0)),"")</f>
        <v>POLENGHI</v>
      </c>
      <c r="C37" s="13">
        <f>IF($B37="","",IFERROR(SUMIFS(Base!$P$3:$P$980,Base!$I$3:$I$980,$B37,Base!$J$3:$J$980,"Ara")/SUMIFS(Base!$L$3:$L$980,Base!$I$3:$I$980,$B37,Base!$J$3:$J$980,"Ara"),""))</f>
        <v>10.976974629446312</v>
      </c>
      <c r="D37" s="13">
        <f>IF($B37="","",IFERROR(SUMIFS(Base!$P$3:$P$980,Base!$I$3:$I$980,$B37,Base!$J$3:$J$980,"Jpe")/SUMIFS(Base!$L$3:$L$980,Base!$I$3:$I$980,$B37,Base!$J$3:$J$980,"Jpe"),""))</f>
        <v>11.537010161447352</v>
      </c>
      <c r="E37" s="14">
        <f>IF($B37="","",IFERROR(SUMIFS(Base!$P$3:$P$980,Base!$I$3:$I$980,$B37)/SUMIFS(Base!$L$3:$L$980,Base!$I$3:$I$980,$B37),""))</f>
        <v>11.209469042830294</v>
      </c>
    </row>
    <row r="38" spans="2:5" ht="14.25" customHeight="1" x14ac:dyDescent="0.35">
      <c r="B38" s="12" t="str">
        <f>IFERROR(INDEX(Base!$I$3:$I$980,MATCH(SMALL(Base!$Q$3:$Q$980,9),Base!$Q$3:$Q$980,0)),"")</f>
        <v>LACTALIS1</v>
      </c>
      <c r="C38" s="13">
        <f>IF($B38="","",IFERROR(SUMIFS(Base!$P$3:$P$980,Base!$I$3:$I$980,$B38,Base!$J$3:$J$980,"Ara")/SUMIFS(Base!$L$3:$L$980,Base!$I$3:$I$980,$B38,Base!$J$3:$J$980,"Ara"),""))</f>
        <v>7.8036269754430823</v>
      </c>
      <c r="D38" s="13">
        <f>IF($B38="","",IFERROR(SUMIFS(Base!$P$3:$P$980,Base!$I$3:$I$980,$B38,Base!$J$3:$J$980,"Jpe")/SUMIFS(Base!$L$3:$L$980,Base!$I$3:$I$980,$B38,Base!$J$3:$J$980,"Jpe"),""))</f>
        <v>16.000371219513163</v>
      </c>
      <c r="E38" s="14">
        <f>IF($B38="","",IFERROR(SUMIFS(Base!$P$3:$P$980,Base!$I$3:$I$980,$B38)/SUMIFS(Base!$L$3:$L$980,Base!$I$3:$I$980,$B38),""))</f>
        <v>11.905783840557017</v>
      </c>
    </row>
    <row r="39" spans="2:5" ht="14.25" customHeight="1" x14ac:dyDescent="0.35">
      <c r="B39" s="12" t="str">
        <f>IFERROR(INDEX(Base!$I$3:$I$980,MATCH(SMALL(Base!$Q$3:$Q$980,10),Base!$Q$3:$Q$980,0)),"")</f>
        <v>INNOVAPACK</v>
      </c>
      <c r="C39" s="13">
        <f>IF($B39="","",IFERROR(SUMIFS(Base!$P$3:$P$980,Base!$I$3:$I$980,$B39,Base!$J$3:$J$980,"Ara")/SUMIFS(Base!$L$3:$L$980,Base!$I$3:$I$980,$B39,Base!$J$3:$J$980,"Ara"),""))</f>
        <v>12.080257331732383</v>
      </c>
      <c r="D39" s="13">
        <f>IF($B39="","",IFERROR(SUMIFS(Base!$P$3:$P$980,Base!$I$3:$I$980,$B39,Base!$J$3:$J$980,"Jpe")/SUMIFS(Base!$L$3:$L$980,Base!$I$3:$I$980,$B39,Base!$J$3:$J$980,"Jpe"),""))</f>
        <v>11.710674186325029</v>
      </c>
      <c r="E39" s="14">
        <f>IF($B39="","",IFERROR(SUMIFS(Base!$P$3:$P$980,Base!$I$3:$I$980,$B39)/SUMIFS(Base!$L$3:$L$980,Base!$I$3:$I$980,$B39),""))</f>
        <v>11.936296232195721</v>
      </c>
    </row>
    <row r="40" spans="2:5" ht="14.25" customHeight="1" x14ac:dyDescent="0.35">
      <c r="B40" s="12" t="str">
        <f>IFERROR(INDEX(Base!$I$3:$I$980,MATCH(SMALL(Base!$Q$3:$Q$980,11),Base!$Q$3:$Q$980,0)),"")</f>
        <v>BO PACK</v>
      </c>
      <c r="C40" s="13">
        <f>IF($B40="","",IFERROR(SUMIFS(Base!$P$3:$P$980,Base!$I$3:$I$980,$B40,Base!$J$3:$J$980,"Ara")/SUMIFS(Base!$L$3:$L$980,Base!$I$3:$I$980,$B40,Base!$J$3:$J$980,"Ara"),""))</f>
        <v>16.083917191658415</v>
      </c>
      <c r="D40" s="13">
        <f>IF($B40="","",IFERROR(SUMIFS(Base!$P$3:$P$980,Base!$I$3:$I$980,$B40,Base!$J$3:$J$980,"Jpe")/SUMIFS(Base!$L$3:$L$980,Base!$I$3:$I$980,$B40,Base!$J$3:$J$980,"Jpe"),""))</f>
        <v>9.1062614470717378</v>
      </c>
      <c r="E40" s="14">
        <f>IF($B40="","",IFERROR(SUMIFS(Base!$P$3:$P$980,Base!$I$3:$I$980,$B40)/SUMIFS(Base!$L$3:$L$980,Base!$I$3:$I$980,$B40),""))</f>
        <v>12.515113506607857</v>
      </c>
    </row>
    <row r="41" spans="2:5" ht="14.25" customHeight="1" x14ac:dyDescent="0.35">
      <c r="B41" s="12" t="str">
        <f>IFERROR(INDEX(Base!$I$3:$I$980,MATCH(SMALL(Base!$Q$3:$Q$980,12),Base!$Q$3:$Q$980,0)),"")</f>
        <v>ALIBEY</v>
      </c>
      <c r="C41" s="13">
        <f>IF($B41="","",IFERROR(SUMIFS(Base!$P$3:$P$980,Base!$I$3:$I$980,$B41,Base!$J$3:$J$980,"Ara")/SUMIFS(Base!$L$3:$L$980,Base!$I$3:$I$980,$B41,Base!$J$3:$J$980,"Ara"),""))</f>
        <v>15.918132451804043</v>
      </c>
      <c r="D41" s="13">
        <f>IF($B41="","",IFERROR(SUMIFS(Base!$P$3:$P$980,Base!$I$3:$I$980,$B41,Base!$J$3:$J$980,"Jpe")/SUMIFS(Base!$L$3:$L$980,Base!$I$3:$I$980,$B41,Base!$J$3:$J$980,"Jpe"),""))</f>
        <v>7.6015588478391951</v>
      </c>
      <c r="E41" s="14">
        <f>IF($B41="","",IFERROR(SUMIFS(Base!$P$3:$P$980,Base!$I$3:$I$980,$B41)/SUMIFS(Base!$L$3:$L$980,Base!$I$3:$I$980,$B41),""))</f>
        <v>12.659691817357878</v>
      </c>
    </row>
    <row r="42" spans="2:5" ht="14.25" customHeight="1" x14ac:dyDescent="0.35">
      <c r="B42" s="12" t="str">
        <f>IFERROR(INDEX(Base!$I$3:$I$980,MATCH(SMALL(Base!$Q$3:$Q$980,13),Base!$Q$3:$Q$980,0)),"")</f>
        <v>C. CLARO</v>
      </c>
      <c r="C42" s="13">
        <f>IF($B42="","",IFERROR(SUMIFS(Base!$P$3:$P$980,Base!$I$3:$I$980,$B42,Base!$J$3:$J$980,"Ara")/SUMIFS(Base!$L$3:$L$980,Base!$I$3:$I$980,$B42,Base!$J$3:$J$980,"Ara"),""))</f>
        <v>14.897463149173705</v>
      </c>
      <c r="D42" s="13">
        <f>IF($B42="","",IFERROR(SUMIFS(Base!$P$3:$P$980,Base!$I$3:$I$980,$B42,Base!$J$3:$J$980,"Jpe")/SUMIFS(Base!$L$3:$L$980,Base!$I$3:$I$980,$B42,Base!$J$3:$J$980,"Jpe"),""))</f>
        <v>10.199848905848647</v>
      </c>
      <c r="E42" s="14">
        <f>IF($B42="","",IFERROR(SUMIFS(Base!$P$3:$P$980,Base!$I$3:$I$980,$B42)/SUMIFS(Base!$L$3:$L$980,Base!$I$3:$I$980,$B42),""))</f>
        <v>13.164518620040385</v>
      </c>
    </row>
    <row r="43" spans="2:5" ht="14.25" customHeight="1" x14ac:dyDescent="0.35">
      <c r="B43" s="12" t="str">
        <f>IFERROR(INDEX(Base!$I$3:$I$980,MATCH(SMALL(Base!$Q$3:$Q$980,14),Base!$Q$3:$Q$980,0)),"")</f>
        <v>TRENIER</v>
      </c>
      <c r="C43" s="13">
        <f>IF($B43="","",IFERROR(SUMIFS(Base!$P$3:$P$980,Base!$I$3:$I$980,$B43,Base!$J$3:$J$980,"Ara")/SUMIFS(Base!$L$3:$L$980,Base!$I$3:$I$980,$B43,Base!$J$3:$J$980,"Ara"),""))</f>
        <v>13.661614968670909</v>
      </c>
      <c r="D43" s="13">
        <f>IF($B43="","",IFERROR(SUMIFS(Base!$P$3:$P$980,Base!$I$3:$I$980,$B43,Base!$J$3:$J$980,"Jpe")/SUMIFS(Base!$L$3:$L$980,Base!$I$3:$I$980,$B43,Base!$J$3:$J$980,"Jpe"),""))</f>
        <v>12.594968075102873</v>
      </c>
      <c r="E43" s="14">
        <f>IF($B43="","",IFERROR(SUMIFS(Base!$P$3:$P$980,Base!$I$3:$I$980,$B43)/SUMIFS(Base!$L$3:$L$980,Base!$I$3:$I$980,$B43),""))</f>
        <v>13.368383254718369</v>
      </c>
    </row>
    <row r="44" spans="2:5" ht="14.25" customHeight="1" x14ac:dyDescent="0.35">
      <c r="B44" s="12" t="str">
        <f>IFERROR(INDEX(Base!$I$3:$I$980,MATCH(SMALL(Base!$Q$3:$Q$980,15),Base!$Q$3:$Q$980,0)),"")</f>
        <v>FERRERO BR</v>
      </c>
      <c r="C44" s="13">
        <f>IF($B44="","",IFERROR(SUMIFS(Base!$P$3:$P$980,Base!$I$3:$I$980,$B44,Base!$J$3:$J$980,"Ara")/SUMIFS(Base!$L$3:$L$980,Base!$I$3:$I$980,$B44,Base!$J$3:$J$980,"Ara"),""))</f>
        <v>11.673691747931386</v>
      </c>
      <c r="D44" s="13">
        <f>IF($B44="","",IFERROR(SUMIFS(Base!$P$3:$P$980,Base!$I$3:$I$980,$B44,Base!$J$3:$J$980,"Jpe")/SUMIFS(Base!$L$3:$L$980,Base!$I$3:$I$980,$B44,Base!$J$3:$J$980,"Jpe"),""))</f>
        <v>16</v>
      </c>
      <c r="E44" s="14">
        <f>IF($B44="","",IFERROR(SUMIFS(Base!$P$3:$P$980,Base!$I$3:$I$980,$B44)/SUMIFS(Base!$L$3:$L$980,Base!$I$3:$I$980,$B44),""))</f>
        <v>13.473544729115428</v>
      </c>
    </row>
    <row r="45" spans="2:5" ht="14.25" customHeight="1" x14ac:dyDescent="0.35">
      <c r="B45" s="12" t="str">
        <f>IFERROR(INDEX(Base!$I$3:$I$980,MATCH(SMALL(Base!$Q$3:$Q$980,16),Base!$Q$3:$Q$980,0)),"")</f>
        <v>POLENGHI I</v>
      </c>
      <c r="C45" s="13">
        <f>IF($B45="","",IFERROR(SUMIFS(Base!$P$3:$P$980,Base!$I$3:$I$980,$B45,Base!$J$3:$J$980,"Ara")/SUMIFS(Base!$L$3:$L$980,Base!$I$3:$I$980,$B45,Base!$J$3:$J$980,"Ara"),""))</f>
        <v>14.314893811658628</v>
      </c>
      <c r="D45" s="13">
        <f>IF($B45="","",IFERROR(SUMIFS(Base!$P$3:$P$980,Base!$I$3:$I$980,$B45,Base!$J$3:$J$980,"Jpe")/SUMIFS(Base!$L$3:$L$980,Base!$I$3:$I$980,$B45,Base!$J$3:$J$980,"Jpe"),""))</f>
        <v>12.015394879384793</v>
      </c>
      <c r="E45" s="14">
        <f>IF($B45="","",IFERROR(SUMIFS(Base!$P$3:$P$980,Base!$I$3:$I$980,$B45)/SUMIFS(Base!$L$3:$L$980,Base!$I$3:$I$980,$B45),""))</f>
        <v>13.531242604453073</v>
      </c>
    </row>
    <row r="46" spans="2:5" ht="14.25" customHeight="1" x14ac:dyDescent="0.35">
      <c r="B46" s="12" t="str">
        <f>IFERROR(INDEX(Base!$I$3:$I$980,MATCH(SMALL(Base!$Q$3:$Q$980,17),Base!$Q$3:$Q$980,0)),"")</f>
        <v>KERRY4</v>
      </c>
      <c r="C46" s="13">
        <f>IF($B46="","",IFERROR(SUMIFS(Base!$P$3:$P$980,Base!$I$3:$I$980,$B46,Base!$J$3:$J$980,"Ara")/SUMIFS(Base!$L$3:$L$980,Base!$I$3:$I$980,$B46,Base!$J$3:$J$980,"Ara"),""))</f>
        <v>14.999999999999998</v>
      </c>
      <c r="D46" s="13">
        <f>IF($B46="","",IFERROR(SUMIFS(Base!$P$3:$P$980,Base!$I$3:$I$980,$B46,Base!$J$3:$J$980,"Jpe")/SUMIFS(Base!$L$3:$L$980,Base!$I$3:$I$980,$B46,Base!$J$3:$J$980,"Jpe"),""))</f>
        <v>0</v>
      </c>
      <c r="E46" s="14">
        <f>IF($B46="","",IFERROR(SUMIFS(Base!$P$3:$P$980,Base!$I$3:$I$980,$B46)/SUMIFS(Base!$L$3:$L$980,Base!$I$3:$I$980,$B46),""))</f>
        <v>13.56788615054427</v>
      </c>
    </row>
    <row r="47" spans="2:5" ht="14.25" customHeight="1" x14ac:dyDescent="0.35">
      <c r="B47" s="12" t="str">
        <f>IFERROR(INDEX(Base!$I$3:$I$980,MATCH(SMALL(Base!$Q$3:$Q$980,18),Base!$Q$3:$Q$980,0)),"")</f>
        <v>PLANTPLUS2</v>
      </c>
      <c r="C47" s="13">
        <f>IF($B47="","",IFERROR(SUMIFS(Base!$P$3:$P$980,Base!$I$3:$I$980,$B47,Base!$J$3:$J$980,"Ara")/SUMIFS(Base!$L$3:$L$980,Base!$I$3:$I$980,$B47,Base!$J$3:$J$980,"Ara"),""))</f>
        <v>13.630013479291826</v>
      </c>
      <c r="D47" s="13">
        <f>IF($B47="","",IFERROR(SUMIFS(Base!$P$3:$P$980,Base!$I$3:$I$980,$B47,Base!$J$3:$J$980,"Jpe")/SUMIFS(Base!$L$3:$L$980,Base!$I$3:$I$980,$B47,Base!$J$3:$J$980,"Jpe"),""))</f>
        <v>16</v>
      </c>
      <c r="E47" s="14">
        <f>IF($B47="","",IFERROR(SUMIFS(Base!$P$3:$P$980,Base!$I$3:$I$980,$B47)/SUMIFS(Base!$L$3:$L$980,Base!$I$3:$I$980,$B47),""))</f>
        <v>14.182655845253054</v>
      </c>
    </row>
    <row r="48" spans="2:5" ht="14.25" customHeight="1" x14ac:dyDescent="0.35">
      <c r="B48" s="12" t="str">
        <f>IFERROR(INDEX(Base!$I$3:$I$980,MATCH(SMALL(Base!$Q$3:$Q$980,19),Base!$Q$3:$Q$980,0)),"")</f>
        <v>REFRICON</v>
      </c>
      <c r="C48" s="13">
        <f>IF($B48="","",IFERROR(SUMIFS(Base!$P$3:$P$980,Base!$I$3:$I$980,$B48,Base!$J$3:$J$980,"Ara")/SUMIFS(Base!$L$3:$L$980,Base!$I$3:$I$980,$B48,Base!$J$3:$J$980,"Ara"),""))</f>
        <v>13.729383912452967</v>
      </c>
      <c r="D48" s="13">
        <f>IF($B48="","",IFERROR(SUMIFS(Base!$P$3:$P$980,Base!$I$3:$I$980,$B48,Base!$J$3:$J$980,"Jpe")/SUMIFS(Base!$L$3:$L$980,Base!$I$3:$I$980,$B48,Base!$J$3:$J$980,"Jpe"),""))</f>
        <v>16.63016926350976</v>
      </c>
      <c r="E48" s="14">
        <f>IF($B48="","",IFERROR(SUMIFS(Base!$P$3:$P$980,Base!$I$3:$I$980,$B48)/SUMIFS(Base!$L$3:$L$980,Base!$I$3:$I$980,$B48),""))</f>
        <v>14.610593825856634</v>
      </c>
    </row>
    <row r="49" spans="2:5" ht="14.25" customHeight="1" x14ac:dyDescent="0.35">
      <c r="B49" s="12" t="str">
        <f>IFERROR(INDEX(Base!$I$3:$I$980,MATCH(SMALL(Base!$Q$3:$Q$980,20),Base!$Q$3:$Q$980,0)),"")</f>
        <v>SEARA</v>
      </c>
      <c r="C49" s="13">
        <f>IF($B49="","",IFERROR(SUMIFS(Base!$P$3:$P$980,Base!$I$3:$I$980,$B49,Base!$J$3:$J$980,"Ara")/SUMIFS(Base!$L$3:$L$980,Base!$I$3:$I$980,$B49,Base!$J$3:$J$980,"Ara"),""))</f>
        <v>14.417848453411649</v>
      </c>
      <c r="D49" s="13">
        <f>IF($B49="","",IFERROR(SUMIFS(Base!$P$3:$P$980,Base!$I$3:$I$980,$B49,Base!$J$3:$J$980,"Jpe")/SUMIFS(Base!$L$3:$L$980,Base!$I$3:$I$980,$B49,Base!$J$3:$J$980,"Jpe"),""))</f>
        <v>15.370317604236126</v>
      </c>
      <c r="E49" s="14">
        <f>IF($B49="","",IFERROR(SUMIFS(Base!$P$3:$P$980,Base!$I$3:$I$980,$B49)/SUMIFS(Base!$L$3:$L$980,Base!$I$3:$I$980,$B49),""))</f>
        <v>14.684609150114339</v>
      </c>
    </row>
    <row r="50" spans="2:5" ht="14.25" customHeight="1" x14ac:dyDescent="0.35">
      <c r="B50" s="12" t="str">
        <f>IFERROR(INDEX(Base!$I$3:$I$980,MATCH(SMALL(Base!$Q$3:$Q$980,21),Base!$Q$3:$Q$980,0)),"")</f>
        <v>TUICIAL</v>
      </c>
      <c r="C50" s="13">
        <f>IF($B50="","",IFERROR(SUMIFS(Base!$P$3:$P$980,Base!$I$3:$I$980,$B50,Base!$J$3:$J$980,"Ara")/SUMIFS(Base!$L$3:$L$980,Base!$I$3:$I$980,$B50,Base!$J$3:$J$980,"Ara"),""))</f>
        <v>15</v>
      </c>
      <c r="D50" s="13">
        <f>IF($B50="","",IFERROR(SUMIFS(Base!$P$3:$P$980,Base!$I$3:$I$980,$B50,Base!$J$3:$J$980,"Jpe")/SUMIFS(Base!$L$3:$L$980,Base!$I$3:$I$980,$B50,Base!$J$3:$J$980,"Jpe"),""))</f>
        <v>14.999999999999998</v>
      </c>
      <c r="E50" s="14">
        <f>IF($B50="","",IFERROR(SUMIFS(Base!$P$3:$P$980,Base!$I$3:$I$980,$B50)/SUMIFS(Base!$L$3:$L$980,Base!$I$3:$I$980,$B50),""))</f>
        <v>14.999999999999996</v>
      </c>
    </row>
    <row r="51" spans="2:5" ht="14.25" customHeight="1" x14ac:dyDescent="0.35">
      <c r="B51" s="12" t="str">
        <f>IFERROR(INDEX(Base!$I$3:$I$980,MATCH(SMALL(Base!$Q$3:$Q$980,22),Base!$Q$3:$Q$980,0)),"")</f>
        <v>SEARA2</v>
      </c>
      <c r="C51" s="13">
        <f>IF($B51="","",IFERROR(SUMIFS(Base!$P$3:$P$980,Base!$I$3:$I$980,$B51,Base!$J$3:$J$980,"Ara")/SUMIFS(Base!$L$3:$L$980,Base!$I$3:$I$980,$B51,Base!$J$3:$J$980,"Ara"),""))</f>
        <v>15.334341356138887</v>
      </c>
      <c r="D51" s="13">
        <f>IF($B51="","",IFERROR(SUMIFS(Base!$P$3:$P$980,Base!$I$3:$I$980,$B51,Base!$J$3:$J$980,"Jpe")/SUMIFS(Base!$L$3:$L$980,Base!$I$3:$I$980,$B51,Base!$J$3:$J$980,"Jpe"),""))</f>
        <v>15</v>
      </c>
      <c r="E51" s="14">
        <f>IF($B51="","",IFERROR(SUMIFS(Base!$P$3:$P$980,Base!$I$3:$I$980,$B51)/SUMIFS(Base!$L$3:$L$980,Base!$I$3:$I$980,$B51),""))</f>
        <v>15.230714704165374</v>
      </c>
    </row>
    <row r="52" spans="2:5" ht="14.25" customHeight="1" x14ac:dyDescent="0.35">
      <c r="B52" s="12" t="str">
        <f>IFERROR(INDEX(Base!$I$3:$I$980,MATCH(SMALL(Base!$Q$3:$Q$980,23),Base!$Q$3:$Q$980,0)),"")</f>
        <v>SERT PLAST</v>
      </c>
      <c r="C52" s="13">
        <f>IF($B52="","",IFERROR(SUMIFS(Base!$P$3:$P$980,Base!$I$3:$I$980,$B52,Base!$J$3:$J$980,"Ara")/SUMIFS(Base!$L$3:$L$980,Base!$I$3:$I$980,$B52,Base!$J$3:$J$980,"Ara"),""))</f>
        <v>18.752369910259993</v>
      </c>
      <c r="D52" s="13">
        <f>IF($B52="","",IFERROR(SUMIFS(Base!$P$3:$P$980,Base!$I$3:$I$980,$B52,Base!$J$3:$J$980,"Jpe")/SUMIFS(Base!$L$3:$L$980,Base!$I$3:$I$980,$B52,Base!$J$3:$J$980,"Jpe"),""))</f>
        <v>11.874053338565744</v>
      </c>
      <c r="E52" s="14">
        <f>IF($B52="","",IFERROR(SUMIFS(Base!$P$3:$P$980,Base!$I$3:$I$980,$B52)/SUMIFS(Base!$L$3:$L$980,Base!$I$3:$I$980,$B52),""))</f>
        <v>15.288386516503689</v>
      </c>
    </row>
    <row r="53" spans="2:5" ht="14.25" customHeight="1" x14ac:dyDescent="0.35">
      <c r="B53" s="12" t="str">
        <f>IFERROR(INDEX(Base!$I$3:$I$980,MATCH(SMALL(Base!$Q$3:$Q$980,24),Base!$Q$3:$Q$980,0)),"")</f>
        <v>BENASSI AN</v>
      </c>
      <c r="C53" s="13">
        <f>IF($B53="","",IFERROR(SUMIFS(Base!$P$3:$P$980,Base!$I$3:$I$980,$B53,Base!$J$3:$J$980,"Ara")/SUMIFS(Base!$L$3:$L$980,Base!$I$3:$I$980,$B53,Base!$J$3:$J$980,"Ara"),""))</f>
        <v>18.634022008978825</v>
      </c>
      <c r="D53" s="13">
        <f>IF($B53="","",IFERROR(SUMIFS(Base!$P$3:$P$980,Base!$I$3:$I$980,$B53,Base!$J$3:$J$980,"Jpe")/SUMIFS(Base!$L$3:$L$980,Base!$I$3:$I$980,$B53,Base!$J$3:$J$980,"Jpe"),""))</f>
        <v>10.804252867811631</v>
      </c>
      <c r="E53" s="14">
        <f>IF($B53="","",IFERROR(SUMIFS(Base!$P$3:$P$980,Base!$I$3:$I$980,$B53)/SUMIFS(Base!$L$3:$L$980,Base!$I$3:$I$980,$B53),""))</f>
        <v>15.389590724135889</v>
      </c>
    </row>
    <row r="54" spans="2:5" ht="14.25" customHeight="1" x14ac:dyDescent="0.35">
      <c r="B54" s="12" t="str">
        <f>IFERROR(INDEX(Base!$I$3:$I$980,MATCH(SMALL(Base!$Q$3:$Q$980,25),Base!$Q$3:$Q$980,0)),"")</f>
        <v>HEINZ</v>
      </c>
      <c r="C54" s="13">
        <f>IF($B54="","",IFERROR(SUMIFS(Base!$P$3:$P$980,Base!$I$3:$I$980,$B54,Base!$J$3:$J$980,"Ara")/SUMIFS(Base!$L$3:$L$980,Base!$I$3:$I$980,$B54,Base!$J$3:$J$980,"Ara"),""))</f>
        <v>17.885549759345999</v>
      </c>
      <c r="D54" s="13">
        <f>IF($B54="","",IFERROR(SUMIFS(Base!$P$3:$P$980,Base!$I$3:$I$980,$B54,Base!$J$3:$J$980,"Jpe")/SUMIFS(Base!$L$3:$L$980,Base!$I$3:$I$980,$B54,Base!$J$3:$J$980,"Jpe"),""))</f>
        <v>11.879596162658288</v>
      </c>
      <c r="E54" s="14">
        <f>IF($B54="","",IFERROR(SUMIFS(Base!$P$3:$P$980,Base!$I$3:$I$980,$B54)/SUMIFS(Base!$L$3:$L$980,Base!$I$3:$I$980,$B54),""))</f>
        <v>15.522708217590241</v>
      </c>
    </row>
    <row r="55" spans="2:5" ht="14.25" customHeight="1" x14ac:dyDescent="0.35">
      <c r="B55" s="12" t="str">
        <f>IFERROR(INDEX(Base!$I$3:$I$980,MATCH(SMALL(Base!$Q$3:$Q$980,26),Base!$Q$3:$Q$980,0)),"")</f>
        <v>MINERVA</v>
      </c>
      <c r="C55" s="13">
        <f>IF($B55="","",IFERROR(SUMIFS(Base!$P$3:$P$980,Base!$I$3:$I$980,$B55,Base!$J$3:$J$980,"Ara")/SUMIFS(Base!$L$3:$L$980,Base!$I$3:$I$980,$B55,Base!$J$3:$J$980,"Ara"),""))</f>
        <v>16.148955091151599</v>
      </c>
      <c r="D55" s="13">
        <f>IF($B55="","",IFERROR(SUMIFS(Base!$P$3:$P$980,Base!$I$3:$I$980,$B55,Base!$J$3:$J$980,"Jpe")/SUMIFS(Base!$L$3:$L$980,Base!$I$3:$I$980,$B55,Base!$J$3:$J$980,"Jpe"),""))</f>
        <v>15</v>
      </c>
      <c r="E55" s="14">
        <f>IF($B55="","",IFERROR(SUMIFS(Base!$P$3:$P$980,Base!$I$3:$I$980,$B55)/SUMIFS(Base!$L$3:$L$980,Base!$I$3:$I$980,$B55),""))</f>
        <v>15.804223776837098</v>
      </c>
    </row>
    <row r="56" spans="2:5" ht="14.25" customHeight="1" x14ac:dyDescent="0.35">
      <c r="B56" s="12" t="str">
        <f>IFERROR(INDEX(Base!$I$3:$I$980,MATCH(SMALL(Base!$Q$3:$Q$980,27),Base!$Q$3:$Q$980,0)),"")</f>
        <v>BUNGE</v>
      </c>
      <c r="C56" s="13">
        <f>IF($B56="","",IFERROR(SUMIFS(Base!$P$3:$P$980,Base!$I$3:$I$980,$B56,Base!$J$3:$J$980,"Ara")/SUMIFS(Base!$L$3:$L$980,Base!$I$3:$I$980,$B56,Base!$J$3:$J$980,"Ara"),""))</f>
        <v>18.036324531007299</v>
      </c>
      <c r="D56" s="13">
        <f>IF($B56="","",IFERROR(SUMIFS(Base!$P$3:$P$980,Base!$I$3:$I$980,$B56,Base!$J$3:$J$980,"Jpe")/SUMIFS(Base!$L$3:$L$980,Base!$I$3:$I$980,$B56,Base!$J$3:$J$980,"Jpe"),""))</f>
        <v>12.560806900491253</v>
      </c>
      <c r="E56" s="14">
        <f>IF($B56="","",IFERROR(SUMIFS(Base!$P$3:$P$980,Base!$I$3:$I$980,$B56)/SUMIFS(Base!$L$3:$L$980,Base!$I$3:$I$980,$B56),""))</f>
        <v>16.071951124095996</v>
      </c>
    </row>
    <row r="57" spans="2:5" ht="14.25" customHeight="1" x14ac:dyDescent="0.35">
      <c r="B57" s="12" t="str">
        <f>IFERROR(INDEX(Base!$I$3:$I$980,MATCH(SMALL(Base!$Q$3:$Q$980,28),Base!$Q$3:$Q$980,0)),"")</f>
        <v>MECANOPACK</v>
      </c>
      <c r="C57" s="13">
        <f>IF($B57="","",IFERROR(SUMIFS(Base!$P$3:$P$980,Base!$I$3:$I$980,$B57,Base!$J$3:$J$980,"Ara")/SUMIFS(Base!$L$3:$L$980,Base!$I$3:$I$980,$B57,Base!$J$3:$J$980,"Ara"),""))</f>
        <v>16.1319628363817</v>
      </c>
      <c r="D57" s="13">
        <f>IF($B57="","",IFERROR(SUMIFS(Base!$P$3:$P$980,Base!$I$3:$I$980,$B57,Base!$J$3:$J$980,"Jpe")/SUMIFS(Base!$L$3:$L$980,Base!$I$3:$I$980,$B57,Base!$J$3:$J$980,"Jpe"),""))</f>
        <v>16.090352481428294</v>
      </c>
      <c r="E57" s="14">
        <f>IF($B57="","",IFERROR(SUMIFS(Base!$P$3:$P$980,Base!$I$3:$I$980,$B57)/SUMIFS(Base!$L$3:$L$980,Base!$I$3:$I$980,$B57),""))</f>
        <v>16.114060805658866</v>
      </c>
    </row>
    <row r="58" spans="2:5" ht="14.25" customHeight="1" x14ac:dyDescent="0.35">
      <c r="B58" s="12" t="str">
        <f>IFERROR(INDEX(Base!$I$3:$I$980,MATCH(SMALL(Base!$Q$3:$Q$980,29),Base!$Q$3:$Q$980,0)),"")</f>
        <v>PLASTIFAMA</v>
      </c>
      <c r="C58" s="13">
        <f>IF($B58="","",IFERROR(SUMIFS(Base!$P$3:$P$980,Base!$I$3:$I$980,$B58,Base!$J$3:$J$980,"Ara")/SUMIFS(Base!$L$3:$L$980,Base!$I$3:$I$980,$B58,Base!$J$3:$J$980,"Ara"),""))</f>
        <v>19.891558216324796</v>
      </c>
      <c r="D58" s="13">
        <f>IF($B58="","",IFERROR(SUMIFS(Base!$P$3:$P$980,Base!$I$3:$I$980,$B58,Base!$J$3:$J$980,"Jpe")/SUMIFS(Base!$L$3:$L$980,Base!$I$3:$I$980,$B58,Base!$J$3:$J$980,"Jpe"),""))</f>
        <v>14.287463860159862</v>
      </c>
      <c r="E58" s="14">
        <f>IF($B58="","",IFERROR(SUMIFS(Base!$P$3:$P$980,Base!$I$3:$I$980,$B58)/SUMIFS(Base!$L$3:$L$980,Base!$I$3:$I$980,$B58),""))</f>
        <v>17.106910149589716</v>
      </c>
    </row>
    <row r="59" spans="2:5" ht="14.25" customHeight="1" x14ac:dyDescent="0.35">
      <c r="B59" s="12" t="str">
        <f>IFERROR(INDEX(Base!$I$3:$I$980,MATCH(SMALL(Base!$Q$3:$Q$980,30),Base!$Q$3:$Q$980,0)),"")</f>
        <v>BRF</v>
      </c>
      <c r="C59" s="13">
        <f>IF($B59="","",IFERROR(SUMIFS(Base!$P$3:$P$980,Base!$I$3:$I$980,$B59,Base!$J$3:$J$980,"Ara")/SUMIFS(Base!$L$3:$L$980,Base!$I$3:$I$980,$B59,Base!$J$3:$J$980,"Ara"),""))</f>
        <v>18.5</v>
      </c>
      <c r="D59" s="13">
        <f>IF($B59="","",IFERROR(SUMIFS(Base!$P$3:$P$980,Base!$I$3:$I$980,$B59,Base!$J$3:$J$980,"Jpe")/SUMIFS(Base!$L$3:$L$980,Base!$I$3:$I$980,$B59,Base!$J$3:$J$980,"Jpe"),""))</f>
        <v>15.053981842249922</v>
      </c>
      <c r="E59" s="14">
        <f>IF($B59="","",IFERROR(SUMIFS(Base!$P$3:$P$980,Base!$I$3:$I$980,$B59)/SUMIFS(Base!$L$3:$L$980,Base!$I$3:$I$980,$B59),""))</f>
        <v>17.329998367051875</v>
      </c>
    </row>
    <row r="60" spans="2:5" ht="14.25" customHeight="1" x14ac:dyDescent="0.35">
      <c r="B60" s="12" t="str">
        <f>IFERROR(INDEX(Base!$I$3:$I$980,MATCH(SMALL(Base!$Q$3:$Q$980,31),Base!$Q$3:$Q$980,0)),"")</f>
        <v>ALTACOPPO</v>
      </c>
      <c r="C60" s="13">
        <f>IF($B60="","",IFERROR(SUMIFS(Base!$P$3:$P$980,Base!$I$3:$I$980,$B60,Base!$J$3:$J$980,"Ara")/SUMIFS(Base!$L$3:$L$980,Base!$I$3:$I$980,$B60,Base!$J$3:$J$980,"Ara"),""))</f>
        <v>32.708619852037465</v>
      </c>
      <c r="D60" s="13">
        <f>IF($B60="","",IFERROR(SUMIFS(Base!$P$3:$P$980,Base!$I$3:$I$980,$B60,Base!$J$3:$J$980,"Jpe")/SUMIFS(Base!$L$3:$L$980,Base!$I$3:$I$980,$B60,Base!$J$3:$J$980,"Jpe"),""))</f>
        <v>8.7466947014816601</v>
      </c>
      <c r="E60" s="14">
        <f>IF($B60="","",IFERROR(SUMIFS(Base!$P$3:$P$980,Base!$I$3:$I$980,$B60)/SUMIFS(Base!$L$3:$L$980,Base!$I$3:$I$980,$B60),""))</f>
        <v>17.597553110872404</v>
      </c>
    </row>
    <row r="61" spans="2:5" ht="14.25" customHeight="1" x14ac:dyDescent="0.35">
      <c r="B61" s="12" t="str">
        <f>IFERROR(INDEX(Base!$I$3:$I$980,MATCH(SMALL(Base!$Q$3:$Q$980,32),Base!$Q$3:$Q$980,0)),"")</f>
        <v>DUPON</v>
      </c>
      <c r="C61" s="13">
        <f>IF($B61="","",IFERROR(SUMIFS(Base!$P$3:$P$980,Base!$I$3:$I$980,$B61,Base!$J$3:$J$980,"Ara")/SUMIFS(Base!$L$3:$L$980,Base!$I$3:$I$980,$B61,Base!$J$3:$J$980,"Ara"),""))</f>
        <v>18.092827004219401</v>
      </c>
      <c r="D61" s="13">
        <f>IF($B61="","",IFERROR(SUMIFS(Base!$P$3:$P$980,Base!$I$3:$I$980,$B61,Base!$J$3:$J$980,"Jpe")/SUMIFS(Base!$L$3:$L$980,Base!$I$3:$I$980,$B61,Base!$J$3:$J$980,"Jpe"),""))</f>
        <v>17.271753194526696</v>
      </c>
      <c r="E61" s="14">
        <f>IF($B61="","",IFERROR(SUMIFS(Base!$P$3:$P$980,Base!$I$3:$I$980,$B61)/SUMIFS(Base!$L$3:$L$980,Base!$I$3:$I$980,$B61),""))</f>
        <v>17.620632221831968</v>
      </c>
    </row>
    <row r="62" spans="2:5" ht="14.25" customHeight="1" x14ac:dyDescent="0.35">
      <c r="B62" s="12" t="str">
        <f>IFERROR(INDEX(Base!$I$3:$I$980,MATCH(SMALL(Base!$Q$3:$Q$980,33),Base!$Q$3:$Q$980,0)),"")</f>
        <v>KERRY</v>
      </c>
      <c r="C62" s="13">
        <f>IF($B62="","",IFERROR(SUMIFS(Base!$P$3:$P$980,Base!$I$3:$I$980,$B62,Base!$J$3:$J$980,"Ara")/SUMIFS(Base!$L$3:$L$980,Base!$I$3:$I$980,$B62,Base!$J$3:$J$980,"Ara"),""))</f>
        <v>20.202218274930967</v>
      </c>
      <c r="D62" s="13">
        <f>IF($B62="","",IFERROR(SUMIFS(Base!$P$3:$P$980,Base!$I$3:$I$980,$B62,Base!$J$3:$J$980,"Jpe")/SUMIFS(Base!$L$3:$L$980,Base!$I$3:$I$980,$B62,Base!$J$3:$J$980,"Jpe"),""))</f>
        <v>13.478660576297438</v>
      </c>
      <c r="E62" s="14">
        <f>IF($B62="","",IFERROR(SUMIFS(Base!$P$3:$P$980,Base!$I$3:$I$980,$B62)/SUMIFS(Base!$L$3:$L$980,Base!$I$3:$I$980,$B62),""))</f>
        <v>18.057381884590601</v>
      </c>
    </row>
    <row r="63" spans="2:5" ht="14.25" customHeight="1" x14ac:dyDescent="0.35">
      <c r="B63" s="12" t="str">
        <f>IFERROR(INDEX(Base!$I$3:$I$980,MATCH(SMALL(Base!$Q$3:$Q$980,34),Base!$Q$3:$Q$980,0)),"")</f>
        <v>NATURALONE</v>
      </c>
      <c r="C63" s="13">
        <f>IF($B63="","",IFERROR(SUMIFS(Base!$P$3:$P$980,Base!$I$3:$I$980,$B63,Base!$J$3:$J$980,"Ara")/SUMIFS(Base!$L$3:$L$980,Base!$I$3:$I$980,$B63,Base!$J$3:$J$980,"Ara"),""))</f>
        <v>19.326466197704647</v>
      </c>
      <c r="D63" s="13">
        <f>IF($B63="","",IFERROR(SUMIFS(Base!$P$3:$P$980,Base!$I$3:$I$980,$B63,Base!$J$3:$J$980,"Jpe")/SUMIFS(Base!$L$3:$L$980,Base!$I$3:$I$980,$B63,Base!$J$3:$J$980,"Jpe"),""))</f>
        <v>17.167271538340145</v>
      </c>
      <c r="E63" s="14">
        <f>IF($B63="","",IFERROR(SUMIFS(Base!$P$3:$P$980,Base!$I$3:$I$980,$B63)/SUMIFS(Base!$L$3:$L$980,Base!$I$3:$I$980,$B63),""))</f>
        <v>18.633239541451861</v>
      </c>
    </row>
    <row r="64" spans="2:5" ht="14.25" customHeight="1" x14ac:dyDescent="0.35">
      <c r="B64" s="12" t="str">
        <f>IFERROR(INDEX(Base!$I$3:$I$980,MATCH(SMALL(Base!$Q$3:$Q$980,35),Base!$Q$3:$Q$980,0)),"")</f>
        <v>BLISTER</v>
      </c>
      <c r="C64" s="13">
        <f>IF($B64="","",IFERROR(SUMIFS(Base!$P$3:$P$980,Base!$I$3:$I$980,$B64,Base!$J$3:$J$980,"Ara")/SUMIFS(Base!$L$3:$L$980,Base!$I$3:$I$980,$B64,Base!$J$3:$J$980,"Ara"),""))</f>
        <v>22.760055234846053</v>
      </c>
      <c r="D64" s="13">
        <f>IF($B64="","",IFERROR(SUMIFS(Base!$P$3:$P$980,Base!$I$3:$I$980,$B64,Base!$J$3:$J$980,"Jpe")/SUMIFS(Base!$L$3:$L$980,Base!$I$3:$I$980,$B64,Base!$J$3:$J$980,"Jpe"),""))</f>
        <v>20.43303159045135</v>
      </c>
      <c r="E64" s="14">
        <f>IF($B64="","",IFERROR(SUMIFS(Base!$P$3:$P$980,Base!$I$3:$I$980,$B64)/SUMIFS(Base!$L$3:$L$980,Base!$I$3:$I$980,$B64),""))</f>
        <v>21.195960161948364</v>
      </c>
    </row>
    <row r="65" spans="2:5" ht="14.25" customHeight="1" x14ac:dyDescent="0.35">
      <c r="B65" s="12" t="str">
        <f>IFERROR(INDEX(Base!$I$3:$I$980,MATCH(SMALL(Base!$Q$3:$Q$980,36),Base!$Q$3:$Q$980,0)),"")</f>
        <v>FLAMIN</v>
      </c>
      <c r="C65" s="13">
        <f>IF($B65="","",IFERROR(SUMIFS(Base!$P$3:$P$980,Base!$I$3:$I$980,$B65,Base!$J$3:$J$980,"Ara")/SUMIFS(Base!$L$3:$L$980,Base!$I$3:$I$980,$B65,Base!$J$3:$J$980,"Ara"),""))</f>
        <v>24.329378635228434</v>
      </c>
      <c r="D65" s="13">
        <f>IF($B65="","",IFERROR(SUMIFS(Base!$P$3:$P$980,Base!$I$3:$I$980,$B65,Base!$J$3:$J$980,"Jpe")/SUMIFS(Base!$L$3:$L$980,Base!$I$3:$I$980,$B65,Base!$J$3:$J$980,"Jpe"),""))</f>
        <v>17.843127351809137</v>
      </c>
      <c r="E65" s="14">
        <f>IF($B65="","",IFERROR(SUMIFS(Base!$P$3:$P$980,Base!$I$3:$I$980,$B65)/SUMIFS(Base!$L$3:$L$980,Base!$I$3:$I$980,$B65),""))</f>
        <v>21.738313419990291</v>
      </c>
    </row>
    <row r="66" spans="2:5" ht="14.25" customHeight="1" x14ac:dyDescent="0.35">
      <c r="B66" s="12" t="str">
        <f>IFERROR(INDEX(Base!$I$3:$I$980,MATCH(SMALL(Base!$Q$3:$Q$980,37),Base!$Q$3:$Q$980,0)),"")</f>
        <v>MELHORA 1</v>
      </c>
      <c r="C66" s="13">
        <f>IF($B66="","",IFERROR(SUMIFS(Base!$P$3:$P$980,Base!$I$3:$I$980,$B66,Base!$J$3:$J$980,"Ara")/SUMIFS(Base!$L$3:$L$980,Base!$I$3:$I$980,$B66,Base!$J$3:$J$980,"Ara"),""))</f>
        <v>25.0097902097902</v>
      </c>
      <c r="D66" s="13">
        <f>IF($B66="","",IFERROR(SUMIFS(Base!$P$3:$P$980,Base!$I$3:$I$980,$B66,Base!$J$3:$J$980,"Jpe")/SUMIFS(Base!$L$3:$L$980,Base!$I$3:$I$980,$B66,Base!$J$3:$J$980,"Jpe"),""))</f>
        <v>19</v>
      </c>
      <c r="E66" s="14">
        <f>IF($B66="","",IFERROR(SUMIFS(Base!$P$3:$P$980,Base!$I$3:$I$980,$B66)/SUMIFS(Base!$L$3:$L$980,Base!$I$3:$I$980,$B66),""))</f>
        <v>22.052353161149448</v>
      </c>
    </row>
    <row r="67" spans="2:5" ht="14.25" customHeight="1" x14ac:dyDescent="0.35">
      <c r="B67" s="12" t="str">
        <f>IFERROR(INDEX(Base!$I$3:$I$980,MATCH(SMALL(Base!$Q$3:$Q$980,38),Base!$Q$3:$Q$980,0)),"")</f>
        <v>ALL4LABELS</v>
      </c>
      <c r="C67" s="13">
        <f>IF($B67="","",IFERROR(SUMIFS(Base!$P$3:$P$980,Base!$I$3:$I$980,$B67,Base!$J$3:$J$980,"Ara")/SUMIFS(Base!$L$3:$L$980,Base!$I$3:$I$980,$B67,Base!$J$3:$J$980,"Ara"),""))</f>
        <v>22.999999999999996</v>
      </c>
      <c r="D67" s="13">
        <f>IF($B67="","",IFERROR(SUMIFS(Base!$P$3:$P$980,Base!$I$3:$I$980,$B67,Base!$J$3:$J$980,"Jpe")/SUMIFS(Base!$L$3:$L$980,Base!$I$3:$I$980,$B67,Base!$J$3:$J$980,"Jpe"),""))</f>
        <v>38</v>
      </c>
      <c r="E67" s="14">
        <f>IF($B67="","",IFERROR(SUMIFS(Base!$P$3:$P$980,Base!$I$3:$I$980,$B67)/SUMIFS(Base!$L$3:$L$980,Base!$I$3:$I$980,$B67),""))</f>
        <v>26.952831185294738</v>
      </c>
    </row>
    <row r="68" spans="2:5" ht="14.25" customHeight="1" x14ac:dyDescent="0.35">
      <c r="B68" s="12" t="str">
        <f>IFERROR(INDEX(Base!$I$3:$I$980,MATCH(SMALL(Base!$Q$3:$Q$980,39),Base!$Q$3:$Q$980,0)),"")</f>
        <v>BRASILGRAF</v>
      </c>
      <c r="C68" s="13">
        <f>IF($B68="","",IFERROR(SUMIFS(Base!$P$3:$P$980,Base!$I$3:$I$980,$B68,Base!$J$3:$J$980,"Ara")/SUMIFS(Base!$L$3:$L$980,Base!$I$3:$I$980,$B68,Base!$J$3:$J$980,"Ara"),""))</f>
        <v>25.871897597227623</v>
      </c>
      <c r="D68" s="13">
        <f>IF($B68="","",IFERROR(SUMIFS(Base!$P$3:$P$980,Base!$I$3:$I$980,$B68,Base!$J$3:$J$980,"Jpe")/SUMIFS(Base!$L$3:$L$980,Base!$I$3:$I$980,$B68,Base!$J$3:$J$980,"Jpe"),""))</f>
        <v>32</v>
      </c>
      <c r="E68" s="14">
        <f>IF($B68="","",IFERROR(SUMIFS(Base!$P$3:$P$980,Base!$I$3:$I$980,$B68)/SUMIFS(Base!$L$3:$L$980,Base!$I$3:$I$980,$B68),""))</f>
        <v>28.47483168497871</v>
      </c>
    </row>
    <row r="69" spans="2:5" ht="14.25" customHeight="1" x14ac:dyDescent="0.35">
      <c r="B69" s="15" t="s">
        <v>8</v>
      </c>
      <c r="C69" s="16">
        <f>IFERROR(SUMIFS(Base!$P$3:$P$980,Base!$J$3:$J$980,"Ara")/SUMIFS(Base!$L$3:$L$980,Base!$J$3:$J$980,"Ara"),"")</f>
        <v>12.654822563936424</v>
      </c>
      <c r="D69" s="16">
        <f>IFERROR(SUMIFS(Base!$P$3:$P$980,Base!$J$3:$J$980,"Jpe")/SUMIFS(Base!$L$3:$L$980,Base!$J$3:$J$980,"Jpe"),"")</f>
        <v>11.1155368353397</v>
      </c>
      <c r="E69" s="16">
        <f>IFERROR(SUM(Base!$P$3:$P$980)/SUM(Base!$L$3:$L$980),"")</f>
        <v>12.120400308988931</v>
      </c>
    </row>
    <row r="71" spans="2:5" ht="14.25" customHeight="1" x14ac:dyDescent="0.35">
      <c r="B71" s="17"/>
      <c r="E71" s="2"/>
    </row>
  </sheetData>
  <mergeCells count="3">
    <mergeCell ref="C13:E13"/>
    <mergeCell ref="F13:H13"/>
    <mergeCell ref="C28:E28"/>
  </mergeCells>
  <conditionalFormatting sqref="E14:E24">
    <cfRule type="cellIs" dxfId="2" priority="2" operator="lessThan">
      <formula>7</formula>
    </cfRule>
  </conditionalFormatting>
  <conditionalFormatting sqref="E29:E69">
    <cfRule type="cellIs" dxfId="0" priority="1" operator="lessThan">
      <formula>7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O20" sqref="O20"/>
    </sheetView>
  </sheetViews>
  <sheetFormatPr defaultColWidth="8.6328125" defaultRowHeight="14.5" outlineLevelRow="1" x14ac:dyDescent="0.35"/>
  <cols>
    <col min="1" max="1" width="4" customWidth="1"/>
    <col min="2" max="2" width="44" customWidth="1"/>
    <col min="3" max="4" width="14" customWidth="1"/>
    <col min="5" max="6" width="12" customWidth="1"/>
    <col min="7" max="7" width="10" customWidth="1"/>
    <col min="8" max="8" width="9" customWidth="1"/>
    <col min="9" max="9" width="13" customWidth="1"/>
    <col min="10" max="10" width="14.1796875" hidden="1" customWidth="1"/>
    <col min="11" max="11" width="16" hidden="1" customWidth="1"/>
  </cols>
  <sheetData>
    <row r="2" spans="2:11" ht="18" customHeight="1" x14ac:dyDescent="0.45">
      <c r="B2" s="1" t="s">
        <v>17</v>
      </c>
    </row>
    <row r="3" spans="2:11" ht="14.25" customHeight="1" x14ac:dyDescent="0.35">
      <c r="B3" s="2"/>
    </row>
    <row r="5" spans="2:11" ht="31.5" customHeight="1" x14ac:dyDescent="0.35">
      <c r="B5" s="4" t="s">
        <v>18</v>
      </c>
      <c r="C5" s="4" t="s">
        <v>16</v>
      </c>
      <c r="D5" s="4" t="s">
        <v>19</v>
      </c>
      <c r="E5" s="4" t="s">
        <v>20</v>
      </c>
      <c r="F5" s="4" t="s">
        <v>21</v>
      </c>
      <c r="G5" s="4" t="s">
        <v>5</v>
      </c>
      <c r="H5" s="4" t="s">
        <v>22</v>
      </c>
      <c r="I5" s="4" t="s">
        <v>23</v>
      </c>
      <c r="J5" s="4" t="s">
        <v>24</v>
      </c>
      <c r="K5" s="18" t="s">
        <v>25</v>
      </c>
    </row>
    <row r="6" spans="2:11" ht="14.25" customHeight="1" x14ac:dyDescent="0.35">
      <c r="B6" s="19" t="s">
        <v>26</v>
      </c>
      <c r="C6" s="19"/>
      <c r="D6" s="20"/>
      <c r="E6" s="21">
        <f>SUMIFS(Base!$K$3:$K$980,Base!$J$3:$J$980,"Ara",Base!$G$3:$G$980,$B6,Base!$K$3:$K$980,"&lt;&gt;#N/A")</f>
        <v>25334</v>
      </c>
      <c r="F6" s="21">
        <f>SUMIFS(Base!$L$3:$L$980,Base!$J$3:$J$980,"Ara",Base!$G$3:$G$980,$B6)</f>
        <v>470.41802797325715</v>
      </c>
      <c r="G6" s="22">
        <f>IFERROR(E6/F6,0)</f>
        <v>53.85422856591758</v>
      </c>
      <c r="H6" s="22"/>
      <c r="I6" s="22">
        <f>IFERROR(SUMIFS(Base!$P$3:$P$980,Base!$J$3:$J$980,"Ara",Base!$G$3:$G$980,$B6)/F6,0)</f>
        <v>19.542407082446015</v>
      </c>
      <c r="J6" s="23">
        <f>1+SUMPRODUCT(($K$6:$K$114="")*($I$6:$I$114&lt;I6))</f>
        <v>9</v>
      </c>
      <c r="K6" s="23"/>
    </row>
    <row r="7" spans="2:11" ht="14.25" hidden="1" customHeight="1" outlineLevel="1" x14ac:dyDescent="0.35">
      <c r="B7" s="24" t="str">
        <f>INDEX(Base!$H$3:$H$980,MATCH($K7,Base!$B$3:$B$980,0))</f>
        <v xml:space="preserve"> SUCO UVA/ MACA NATURAL ONE 180 ML FD C/6UN </v>
      </c>
      <c r="C7" s="25" t="str">
        <f>IFERROR(IF(INDEX(Base!$I$3:$I$980,MATCH($K7,Base!$B$3:$B$980,0))="","",INDEX(Base!$I$3:$I$980,MATCH($K7,Base!$B$3:$B$980,0))),"sem fornecedor")</f>
        <v>NATURALONE</v>
      </c>
      <c r="D7" s="26">
        <f>INDEX(Base!$E$3:$E$980,MATCH($K7,Base!$B$3:$B$980,0))</f>
        <v>221000000780</v>
      </c>
      <c r="E7" s="27">
        <f>IFERROR(INDEX(Base!$K$3:$K$980,MATCH($K7,Base!$B$3:$B$980,0)),"sem estoque")</f>
        <v>13735</v>
      </c>
      <c r="F7" s="27">
        <f>INDEX(Base!$L$3:$L$980,MATCH($K7,Base!$B$3:$B$980,0))</f>
        <v>209.40989247353701</v>
      </c>
      <c r="G7" s="28">
        <f>INDEX(Base!$M$3:$M$980,MATCH($K7,Base!$B$3:$B$980,0))</f>
        <v>65.589069540903765</v>
      </c>
      <c r="H7" s="28">
        <f>INDEX(Base!$N$3:$N$980,MATCH($K7,Base!$B$3:$B$980,0))</f>
        <v>20.8308304132599</v>
      </c>
      <c r="I7" s="28">
        <f>INDEX(Base!$O$3:$O$980,MATCH($K7,Base!$B$3:$B$980,0))</f>
        <v>20.8308304132599</v>
      </c>
      <c r="J7" s="29"/>
      <c r="K7" s="30" t="s">
        <v>27</v>
      </c>
    </row>
    <row r="8" spans="2:11" ht="14.25" hidden="1" customHeight="1" outlineLevel="1" x14ac:dyDescent="0.35">
      <c r="B8" s="24" t="str">
        <f>INDEX(Base!$H$3:$H$980,MATCH($K8,Base!$B$3:$B$980,0))</f>
        <v xml:space="preserve"> SUCO LARANJA COM MACA FD 12X300ML </v>
      </c>
      <c r="C8" s="25" t="str">
        <f>IFERROR(IF(INDEX(Base!$I$3:$I$980,MATCH($K8,Base!$B$3:$B$980,0))="","",INDEX(Base!$I$3:$I$980,MATCH($K8,Base!$B$3:$B$980,0))),"sem fornecedor")</f>
        <v>NATURALONE</v>
      </c>
      <c r="D8" s="26">
        <f>INDEX(Base!$E$3:$E$980,MATCH($K8,Base!$B$3:$B$980,0))</f>
        <v>221000000541</v>
      </c>
      <c r="E8" s="27">
        <f>IFERROR(INDEX(Base!$K$3:$K$980,MATCH($K8,Base!$B$3:$B$980,0)),"sem estoque")</f>
        <v>3946</v>
      </c>
      <c r="F8" s="27">
        <f>INDEX(Base!$L$3:$L$980,MATCH($K8,Base!$B$3:$B$980,0))</f>
        <v>115.853080790888</v>
      </c>
      <c r="G8" s="28">
        <f>INDEX(Base!$M$3:$M$980,MATCH($K8,Base!$B$3:$B$980,0))</f>
        <v>34.060380380582494</v>
      </c>
      <c r="H8" s="28">
        <f>INDEX(Base!$N$3:$N$980,MATCH($K8,Base!$B$3:$B$980,0))</f>
        <v>15</v>
      </c>
      <c r="I8" s="28">
        <f>INDEX(Base!$O$3:$O$980,MATCH($K8,Base!$B$3:$B$980,0))</f>
        <v>15</v>
      </c>
      <c r="J8" s="29"/>
      <c r="K8" s="30" t="s">
        <v>28</v>
      </c>
    </row>
    <row r="9" spans="2:11" ht="14.25" hidden="1" customHeight="1" outlineLevel="1" x14ac:dyDescent="0.35">
      <c r="B9" s="24" t="str">
        <f>INDEX(Base!$H$3:$H$980,MATCH($K9,Base!$B$3:$B$980,0))</f>
        <v xml:space="preserve"> SUCO UVA MACA 12X300ML PPY/BK </v>
      </c>
      <c r="C9" s="25" t="str">
        <f>IFERROR(IF(INDEX(Base!$I$3:$I$980,MATCH($K9,Base!$B$3:$B$980,0))="","",INDEX(Base!$I$3:$I$980,MATCH($K9,Base!$B$3:$B$980,0))),"sem fornecedor")</f>
        <v>NATURALONE</v>
      </c>
      <c r="D9" s="26">
        <f>INDEX(Base!$E$3:$E$980,MATCH($K9,Base!$B$3:$B$980,0))</f>
        <v>201080000086</v>
      </c>
      <c r="E9" s="27">
        <f>IFERROR(INDEX(Base!$K$3:$K$980,MATCH($K9,Base!$B$3:$B$980,0)),"sem estoque")</f>
        <v>7159</v>
      </c>
      <c r="F9" s="27">
        <f>INDEX(Base!$L$3:$L$980,MATCH($K9,Base!$B$3:$B$980,0))</f>
        <v>124.850384893521</v>
      </c>
      <c r="G9" s="28">
        <f>INDEX(Base!$M$3:$M$980,MATCH($K9,Base!$B$3:$B$980,0))</f>
        <v>57.34063219833542</v>
      </c>
      <c r="H9" s="28">
        <f>INDEX(Base!$N$3:$N$980,MATCH($K9,Base!$B$3:$B$980,0))</f>
        <v>20.8178968367056</v>
      </c>
      <c r="I9" s="28">
        <f>INDEX(Base!$O$3:$O$980,MATCH($K9,Base!$B$3:$B$980,0))</f>
        <v>20.8178968367056</v>
      </c>
      <c r="J9" s="29"/>
      <c r="K9" s="30" t="s">
        <v>29</v>
      </c>
    </row>
    <row r="10" spans="2:11" ht="14.25" hidden="1" customHeight="1" outlineLevel="1" x14ac:dyDescent="0.35">
      <c r="B10" s="24" t="str">
        <f>INDEX(Base!$H$3:$H$980,MATCH($K10,Base!$B$3:$B$980,0))</f>
        <v xml:space="preserve"> AGUA MINERAL BURGER KING CX 48 UN </v>
      </c>
      <c r="C10" s="25" t="str">
        <f>IFERROR(IF(INDEX(Base!$I$3:$I$980,MATCH($K10,Base!$B$3:$B$980,0))="","",INDEX(Base!$I$3:$I$980,MATCH($K10,Base!$B$3:$B$980,0))),"sem fornecedor")</f>
        <v>FLAMIN</v>
      </c>
      <c r="D10" s="26">
        <f>INDEX(Base!$E$3:$E$980,MATCH($K10,Base!$B$3:$B$980,0))</f>
        <v>201080000005</v>
      </c>
      <c r="E10" s="27">
        <f>IFERROR(INDEX(Base!$K$3:$K$980,MATCH($K10,Base!$B$3:$B$980,0)),"sem estoque")</f>
        <v>494</v>
      </c>
      <c r="F10" s="27">
        <f>INDEX(Base!$L$3:$L$980,MATCH($K10,Base!$B$3:$B$980,0))</f>
        <v>20.3046698153112</v>
      </c>
      <c r="G10" s="28">
        <f>INDEX(Base!$M$3:$M$980,MATCH($K10,Base!$B$3:$B$980,0))</f>
        <v>24.329378635228434</v>
      </c>
      <c r="H10" s="28">
        <f>INDEX(Base!$N$3:$N$980,MATCH($K10,Base!$B$3:$B$980,0))</f>
        <v>31</v>
      </c>
      <c r="I10" s="28">
        <f>INDEX(Base!$O$3:$O$980,MATCH($K10,Base!$B$3:$B$980,0))</f>
        <v>24.329378635228434</v>
      </c>
      <c r="J10" s="29"/>
      <c r="K10" s="30" t="s">
        <v>30</v>
      </c>
    </row>
    <row r="11" spans="2:11" ht="14.25" customHeight="1" collapsed="1" x14ac:dyDescent="0.35">
      <c r="B11" s="19" t="s">
        <v>31</v>
      </c>
      <c r="C11" s="19"/>
      <c r="D11" s="20"/>
      <c r="E11" s="21">
        <f>SUMIFS(Base!$K$3:$K$980,Base!$J$3:$J$980,"Ara",Base!$G$3:$G$980,$B11,Base!$K$3:$K$980,"&lt;&gt;#N/A")</f>
        <v>8281</v>
      </c>
      <c r="F11" s="21">
        <f>SUMIFS(Base!$L$3:$L$980,Base!$J$3:$J$980,"Ara",Base!$G$3:$G$980,$B11)</f>
        <v>618.17640713970275</v>
      </c>
      <c r="G11" s="22">
        <f>IFERROR(E11/F11,0)</f>
        <v>13.395852550109636</v>
      </c>
      <c r="H11" s="22"/>
      <c r="I11" s="22">
        <f>IFERROR(SUMIFS(Base!$P$3:$P$980,Base!$J$3:$J$980,"Ara",Base!$G$3:$G$980,$B11)/F11,0)</f>
        <v>7.8057791650218844</v>
      </c>
      <c r="J11" s="23">
        <f>1+SUMPRODUCT(($K$6:$K$114="")*($I$6:$I$114&lt;I11))</f>
        <v>1</v>
      </c>
      <c r="K11" s="23"/>
    </row>
    <row r="12" spans="2:11" ht="14.25" hidden="1" customHeight="1" outlineLevel="1" x14ac:dyDescent="0.35">
      <c r="B12" s="24" t="str">
        <f>INDEX(Base!$H$3:$H$980,MATCH($K12,Base!$B$3:$B$980,0))</f>
        <v xml:space="preserve"> PAO BK 5 CL CXG CONG 10500G UNB </v>
      </c>
      <c r="C12" s="25" t="str">
        <f>IFERROR(IF(INDEX(Base!$I$3:$I$980,MATCH($K12,Base!$B$3:$B$980,0))="","",INDEX(Base!$I$3:$I$980,MATCH($K12,Base!$B$3:$B$980,0))),"sem fornecedor")</f>
        <v>BIMBO</v>
      </c>
      <c r="D12" s="26">
        <f>INDEX(Base!$E$3:$E$980,MATCH($K12,Base!$B$3:$B$980,0))</f>
        <v>201010000575</v>
      </c>
      <c r="E12" s="27">
        <f>IFERROR(INDEX(Base!$K$3:$K$980,MATCH($K12,Base!$B$3:$B$980,0)),"sem estoque")</f>
        <v>3646</v>
      </c>
      <c r="F12" s="27">
        <f>INDEX(Base!$L$3:$L$980,MATCH($K12,Base!$B$3:$B$980,0))</f>
        <v>293.73135886016701</v>
      </c>
      <c r="G12" s="28">
        <f>INDEX(Base!$M$3:$M$980,MATCH($K12,Base!$B$3:$B$980,0))</f>
        <v>12.412702593786404</v>
      </c>
      <c r="H12" s="28">
        <f>INDEX(Base!$N$3:$N$980,MATCH($K12,Base!$B$3:$B$980,0))</f>
        <v>7.03</v>
      </c>
      <c r="I12" s="28">
        <f>INDEX(Base!$O$3:$O$980,MATCH($K12,Base!$B$3:$B$980,0))</f>
        <v>7.03</v>
      </c>
      <c r="J12" s="29"/>
      <c r="K12" s="30" t="s">
        <v>32</v>
      </c>
    </row>
    <row r="13" spans="2:11" ht="14.25" hidden="1" customHeight="1" outlineLevel="1" x14ac:dyDescent="0.35">
      <c r="B13" s="24" t="str">
        <f>INDEX(Base!$H$3:$H$980,MATCH($K13,Base!$B$3:$B$980,0))</f>
        <v xml:space="preserve"> PAO BK 4 CONG CXG 14900G UNB </v>
      </c>
      <c r="C13" s="25" t="str">
        <f>IFERROR(IF(INDEX(Base!$I$3:$I$980,MATCH($K13,Base!$B$3:$B$980,0))="","",INDEX(Base!$I$3:$I$980,MATCH($K13,Base!$B$3:$B$980,0))),"sem fornecedor")</f>
        <v>BIMBO</v>
      </c>
      <c r="D13" s="26">
        <f>INDEX(Base!$E$3:$E$980,MATCH($K13,Base!$B$3:$B$980,0))</f>
        <v>201010000262</v>
      </c>
      <c r="E13" s="27">
        <f>IFERROR(INDEX(Base!$K$3:$K$980,MATCH($K13,Base!$B$3:$B$980,0)),"sem estoque")</f>
        <v>3448</v>
      </c>
      <c r="F13" s="27">
        <f>INDEX(Base!$L$3:$L$980,MATCH($K13,Base!$B$3:$B$980,0))</f>
        <v>272.30957678403098</v>
      </c>
      <c r="G13" s="28">
        <f>INDEX(Base!$M$3:$M$980,MATCH($K13,Base!$B$3:$B$980,0))</f>
        <v>12.662059266224825</v>
      </c>
      <c r="H13" s="28">
        <f>INDEX(Base!$N$3:$N$980,MATCH($K13,Base!$B$3:$B$980,0))</f>
        <v>7.86</v>
      </c>
      <c r="I13" s="28">
        <f>INDEX(Base!$O$3:$O$980,MATCH($K13,Base!$B$3:$B$980,0))</f>
        <v>7.86</v>
      </c>
      <c r="J13" s="29"/>
      <c r="K13" s="30" t="s">
        <v>33</v>
      </c>
    </row>
    <row r="14" spans="2:11" ht="14.25" hidden="1" customHeight="1" outlineLevel="1" x14ac:dyDescent="0.35">
      <c r="B14" s="24" t="str">
        <f>INDEX(Base!$H$3:$H$980,MATCH($K14,Base!$B$3:$B$980,0))</f>
        <v xml:space="preserve"> PAO SUPREMO BK CONG CX 180 UND </v>
      </c>
      <c r="C14" s="25" t="str">
        <f>IFERROR(IF(INDEX(Base!$I$3:$I$980,MATCH($K14,Base!$B$3:$B$980,0))="","",INDEX(Base!$I$3:$I$980,MATCH($K14,Base!$B$3:$B$980,0))),"sem fornecedor")</f>
        <v>BIMBO</v>
      </c>
      <c r="D14" s="26">
        <f>INDEX(Base!$E$3:$E$980,MATCH($K14,Base!$B$3:$B$980,0))</f>
        <v>201010000368</v>
      </c>
      <c r="E14" s="27">
        <f>IFERROR(INDEX(Base!$K$3:$K$980,MATCH($K14,Base!$B$3:$B$980,0)),"sem estoque")</f>
        <v>760</v>
      </c>
      <c r="F14" s="27">
        <f>INDEX(Base!$L$3:$L$980,MATCH($K14,Base!$B$3:$B$980,0))</f>
        <v>32.393655916569998</v>
      </c>
      <c r="G14" s="28">
        <f>INDEX(Base!$M$3:$M$980,MATCH($K14,Base!$B$3:$B$980,0))</f>
        <v>23.461383980782635</v>
      </c>
      <c r="H14" s="28">
        <f>INDEX(Base!$N$3:$N$980,MATCH($K14,Base!$B$3:$B$980,0))</f>
        <v>10</v>
      </c>
      <c r="I14" s="28">
        <f>INDEX(Base!$O$3:$O$980,MATCH($K14,Base!$B$3:$B$980,0))</f>
        <v>10</v>
      </c>
      <c r="J14" s="29"/>
      <c r="K14" s="30" t="s">
        <v>34</v>
      </c>
    </row>
    <row r="15" spans="2:11" ht="14.25" hidden="1" customHeight="1" outlineLevel="1" x14ac:dyDescent="0.35">
      <c r="B15" s="24" t="str">
        <f>INDEX(Base!$H$3:$H$980,MATCH($K15,Base!$B$3:$B$980,0))</f>
        <v xml:space="preserve"> PAO BRIOCHE BK CX 192 UND </v>
      </c>
      <c r="C15" s="25" t="str">
        <f>IFERROR(IF(INDEX(Base!$I$3:$I$980,MATCH($K15,Base!$B$3:$B$980,0))="","",INDEX(Base!$I$3:$I$980,MATCH($K15,Base!$B$3:$B$980,0))),"sem fornecedor")</f>
        <v>BIMBO</v>
      </c>
      <c r="D15" s="26">
        <f>INDEX(Base!$E$3:$E$980,MATCH($K15,Base!$B$3:$B$980,0))</f>
        <v>201010000492</v>
      </c>
      <c r="E15" s="27">
        <f>IFERROR(INDEX(Base!$K$3:$K$980,MATCH($K15,Base!$B$3:$B$980,0)),"sem estoque")</f>
        <v>427</v>
      </c>
      <c r="F15" s="27">
        <f>INDEX(Base!$L$3:$L$980,MATCH($K15,Base!$B$3:$B$980,0))</f>
        <v>19.741815578934698</v>
      </c>
      <c r="G15" s="28">
        <f>INDEX(Base!$M$3:$M$980,MATCH($K15,Base!$B$3:$B$980,0))</f>
        <v>21.629216334875803</v>
      </c>
      <c r="H15" s="28">
        <f>INDEX(Base!$N$3:$N$980,MATCH($K15,Base!$B$3:$B$980,0))</f>
        <v>15</v>
      </c>
      <c r="I15" s="28">
        <f>INDEX(Base!$O$3:$O$980,MATCH($K15,Base!$B$3:$B$980,0))</f>
        <v>15</v>
      </c>
      <c r="J15" s="29"/>
      <c r="K15" s="30" t="s">
        <v>35</v>
      </c>
    </row>
    <row r="16" spans="2:11" ht="14.25" customHeight="1" collapsed="1" x14ac:dyDescent="0.35">
      <c r="B16" s="19" t="s">
        <v>36</v>
      </c>
      <c r="C16" s="19"/>
      <c r="D16" s="20"/>
      <c r="E16" s="21">
        <f>SUMIFS(Base!$K$3:$K$980,Base!$J$3:$J$980,"Ara",Base!$G$3:$G$980,$B16,Base!$K$3:$K$980,"&lt;&gt;#N/A")</f>
        <v>17844</v>
      </c>
      <c r="F16" s="21">
        <f>SUMIFS(Base!$L$3:$L$980,Base!$J$3:$J$980,"Ara",Base!$G$3:$G$980,$B16)</f>
        <v>938.51103776302602</v>
      </c>
      <c r="G16" s="22">
        <f>IFERROR(E16/F16,0)</f>
        <v>19.013095511941767</v>
      </c>
      <c r="H16" s="22"/>
      <c r="I16" s="22">
        <f>IFERROR(SUMIFS(Base!$P$3:$P$980,Base!$J$3:$J$980,"Ara",Base!$G$3:$G$980,$B16)/F16,0)</f>
        <v>9.973929271444268</v>
      </c>
      <c r="J16" s="23">
        <f>1+SUMPRODUCT(($K$6:$K$114="")*($I$6:$I$114&lt;I16))</f>
        <v>3</v>
      </c>
      <c r="K16" s="23"/>
    </row>
    <row r="17" spans="2:11" ht="14.25" hidden="1" customHeight="1" outlineLevel="1" x14ac:dyDescent="0.35">
      <c r="B17" s="24" t="str">
        <f>INDEX(Base!$H$3:$H$980,MATCH($K17,Base!$B$3:$B$980,0))</f>
        <v xml:space="preserve"> CHICKEN JR CLEAN BK CX 9,88KG </v>
      </c>
      <c r="C17" s="25" t="str">
        <f>IFERROR(IF(INDEX(Base!$I$3:$I$980,MATCH($K17,Base!$B$3:$B$980,0))="","",INDEX(Base!$I$3:$I$980,MATCH($K17,Base!$B$3:$B$980,0))),"sem fornecedor")</f>
        <v>SEARA</v>
      </c>
      <c r="D17" s="26">
        <f>INDEX(Base!$E$3:$E$980,MATCH($K17,Base!$B$3:$B$980,0))</f>
        <v>201010000218</v>
      </c>
      <c r="E17" s="27">
        <f>IFERROR(INDEX(Base!$K$3:$K$980,MATCH($K17,Base!$B$3:$B$980,0)),"sem estoque")</f>
        <v>3948</v>
      </c>
      <c r="F17" s="27">
        <f>INDEX(Base!$L$3:$L$980,MATCH($K17,Base!$B$3:$B$980,0))</f>
        <v>161.22672935717199</v>
      </c>
      <c r="G17" s="28">
        <f>INDEX(Base!$M$3:$M$980,MATCH($K17,Base!$B$3:$B$980,0))</f>
        <v>24.487254785488073</v>
      </c>
      <c r="H17" s="28">
        <f>INDEX(Base!$N$3:$N$980,MATCH($K17,Base!$B$3:$B$980,0))</f>
        <v>14.2683490395071</v>
      </c>
      <c r="I17" s="28">
        <f>INDEX(Base!$O$3:$O$980,MATCH($K17,Base!$B$3:$B$980,0))</f>
        <v>14.2683490395071</v>
      </c>
      <c r="J17" s="29"/>
      <c r="K17" s="30" t="s">
        <v>37</v>
      </c>
    </row>
    <row r="18" spans="2:11" ht="14.25" hidden="1" customHeight="1" outlineLevel="1" x14ac:dyDescent="0.35">
      <c r="B18" s="24" t="str">
        <f>INDEX(Base!$H$3:$H$980,MATCH($K18,Base!$B$3:$B$980,0))</f>
        <v xml:space="preserve"> CARNE CONG MOIDA WHOPPER BK CX 17,2KG </v>
      </c>
      <c r="C18" s="25" t="str">
        <f>IFERROR(IF(INDEX(Base!$I$3:$I$980,MATCH($K18,Base!$B$3:$B$980,0))="","",INDEX(Base!$I$3:$I$980,MATCH($K18,Base!$B$3:$B$980,0))),"sem fornecedor")</f>
        <v>JBS</v>
      </c>
      <c r="D18" s="26">
        <f>INDEX(Base!$E$3:$E$980,MATCH($K18,Base!$B$3:$B$980,0))</f>
        <v>201010000209</v>
      </c>
      <c r="E18" s="27">
        <f>IFERROR(INDEX(Base!$K$3:$K$980,MATCH($K18,Base!$B$3:$B$980,0)),"sem estoque")</f>
        <v>5121</v>
      </c>
      <c r="F18" s="27">
        <f>INDEX(Base!$L$3:$L$980,MATCH($K18,Base!$B$3:$B$980,0))</f>
        <v>315.94685216568797</v>
      </c>
      <c r="G18" s="28">
        <f>INDEX(Base!$M$3:$M$980,MATCH($K18,Base!$B$3:$B$980,0))</f>
        <v>16.208422286525771</v>
      </c>
      <c r="H18" s="28">
        <f>INDEX(Base!$N$3:$N$980,MATCH($K18,Base!$B$3:$B$980,0))</f>
        <v>7</v>
      </c>
      <c r="I18" s="28">
        <f>INDEX(Base!$O$3:$O$980,MATCH($K18,Base!$B$3:$B$980,0))</f>
        <v>7</v>
      </c>
      <c r="J18" s="29"/>
      <c r="K18" s="30" t="s">
        <v>38</v>
      </c>
    </row>
    <row r="19" spans="2:11" ht="14.25" hidden="1" customHeight="1" outlineLevel="1" x14ac:dyDescent="0.35">
      <c r="B19" s="24" t="str">
        <f>INDEX(Base!$H$3:$H$980,MATCH($K19,Base!$B$3:$B$980,0))</f>
        <v xml:space="preserve"> CARNE HB CONG BKC CX COM 18,7 KG </v>
      </c>
      <c r="C19" s="25" t="str">
        <f>IFERROR(IF(INDEX(Base!$I$3:$I$980,MATCH($K19,Base!$B$3:$B$980,0))="","",INDEX(Base!$I$3:$I$980,MATCH($K19,Base!$B$3:$B$980,0))),"sem fornecedor")</f>
        <v>JBS</v>
      </c>
      <c r="D19" s="26">
        <f>INDEX(Base!$E$3:$E$980,MATCH($K19,Base!$B$3:$B$980,0))</f>
        <v>201010000645</v>
      </c>
      <c r="E19" s="27">
        <f>IFERROR(INDEX(Base!$K$3:$K$980,MATCH($K19,Base!$B$3:$B$980,0)),"sem estoque")</f>
        <v>5060</v>
      </c>
      <c r="F19" s="27">
        <f>INDEX(Base!$L$3:$L$980,MATCH($K19,Base!$B$3:$B$980,0))</f>
        <v>264.36240454463598</v>
      </c>
      <c r="G19" s="28">
        <f>INDEX(Base!$M$3:$M$980,MATCH($K19,Base!$B$3:$B$980,0))</f>
        <v>19.140391799340176</v>
      </c>
      <c r="H19" s="28">
        <f>INDEX(Base!$N$3:$N$980,MATCH($K19,Base!$B$3:$B$980,0))</f>
        <v>7</v>
      </c>
      <c r="I19" s="28">
        <f>INDEX(Base!$O$3:$O$980,MATCH($K19,Base!$B$3:$B$980,0))</f>
        <v>7</v>
      </c>
      <c r="J19" s="29"/>
      <c r="K19" s="30" t="s">
        <v>39</v>
      </c>
    </row>
    <row r="20" spans="2:11" ht="14.25" hidden="1" customHeight="1" outlineLevel="1" x14ac:dyDescent="0.35">
      <c r="B20" s="24" t="str">
        <f>INDEX(Base!$H$3:$H$980,MATCH($K20,Base!$B$3:$B$980,0))</f>
        <v xml:space="preserve"> CHICKEN NUGGETS CX COM 12 KG </v>
      </c>
      <c r="C20" s="25" t="str">
        <f>IFERROR(IF(INDEX(Base!$I$3:$I$980,MATCH($K20,Base!$B$3:$B$980,0))="","",INDEX(Base!$I$3:$I$980,MATCH($K20,Base!$B$3:$B$980,0))),"sem fornecedor")</f>
        <v>SEARA</v>
      </c>
      <c r="D20" s="26">
        <f>INDEX(Base!$E$3:$E$980,MATCH($K20,Base!$B$3:$B$980,0))</f>
        <v>201010000565</v>
      </c>
      <c r="E20" s="27">
        <f>IFERROR(INDEX(Base!$K$3:$K$980,MATCH($K20,Base!$B$3:$B$980,0)),"sem estoque")</f>
        <v>1307</v>
      </c>
      <c r="F20" s="27">
        <f>INDEX(Base!$L$3:$L$980,MATCH($K20,Base!$B$3:$B$980,0))</f>
        <v>88.979760232657199</v>
      </c>
      <c r="G20" s="28">
        <f>INDEX(Base!$M$3:$M$980,MATCH($K20,Base!$B$3:$B$980,0))</f>
        <v>14.688733669123859</v>
      </c>
      <c r="H20" s="28">
        <f>INDEX(Base!$N$3:$N$980,MATCH($K20,Base!$B$3:$B$980,0))</f>
        <v>19.443118681118499</v>
      </c>
      <c r="I20" s="28">
        <f>INDEX(Base!$O$3:$O$980,MATCH($K20,Base!$B$3:$B$980,0))</f>
        <v>14.688733669123859</v>
      </c>
      <c r="J20" s="29"/>
      <c r="K20" s="30" t="s">
        <v>40</v>
      </c>
    </row>
    <row r="21" spans="2:11" ht="14.25" hidden="1" customHeight="1" outlineLevel="1" x14ac:dyDescent="0.35">
      <c r="B21" s="24" t="str">
        <f>INDEX(Base!$H$3:$H$980,MATCH($K21,Base!$B$3:$B$980,0))</f>
        <v xml:space="preserve"> BACON PRONTO CONG 1187 UND CX 4KG DIS </v>
      </c>
      <c r="C21" s="25" t="str">
        <f>IFERROR(IF(INDEX(Base!$I$3:$I$980,MATCH($K21,Base!$B$3:$B$980,0))="","",INDEX(Base!$I$3:$I$980,MATCH($K21,Base!$B$3:$B$980,0))),"sem fornecedor")</f>
        <v>SEARA2</v>
      </c>
      <c r="D21" s="26">
        <f>INDEX(Base!$E$3:$E$980,MATCH($K21,Base!$B$3:$B$980,0))</f>
        <v>201010000684</v>
      </c>
      <c r="E21" s="27">
        <f>IFERROR(INDEX(Base!$K$3:$K$980,MATCH($K21,Base!$B$3:$B$980,0)),"sem estoque")</f>
        <v>1076</v>
      </c>
      <c r="F21" s="27">
        <f>INDEX(Base!$L$3:$L$980,MATCH($K21,Base!$B$3:$B$980,0))</f>
        <v>70.169300070344306</v>
      </c>
      <c r="G21" s="28">
        <f>INDEX(Base!$M$3:$M$980,MATCH($K21,Base!$B$3:$B$980,0))</f>
        <v>15.334341356138887</v>
      </c>
      <c r="H21" s="28">
        <f>INDEX(Base!$N$3:$N$980,MATCH($K21,Base!$B$3:$B$980,0))</f>
        <v>17.149904551391501</v>
      </c>
      <c r="I21" s="28">
        <f>INDEX(Base!$O$3:$O$980,MATCH($K21,Base!$B$3:$B$980,0))</f>
        <v>15.334341356138887</v>
      </c>
      <c r="J21" s="29"/>
      <c r="K21" s="30" t="s">
        <v>41</v>
      </c>
    </row>
    <row r="22" spans="2:11" ht="14.25" hidden="1" customHeight="1" outlineLevel="1" x14ac:dyDescent="0.35">
      <c r="B22" s="24" t="str">
        <f>INDEX(Base!$H$3:$H$980,MATCH($K22,Base!$B$3:$B$980,0))</f>
        <v xml:space="preserve"> BACON BK ASS CUBOS CX 2X1KG </v>
      </c>
      <c r="C22" s="25" t="str">
        <f>IFERROR(IF(INDEX(Base!$I$3:$I$980,MATCH($K22,Base!$B$3:$B$980,0))="","",INDEX(Base!$I$3:$I$980,MATCH($K22,Base!$B$3:$B$980,0))),"sem fornecedor")</f>
        <v>MINERVA</v>
      </c>
      <c r="D22" s="26">
        <f>INDEX(Base!$E$3:$E$980,MATCH($K22,Base!$B$3:$B$980,0))</f>
        <v>201010000402</v>
      </c>
      <c r="E22" s="27">
        <f>IFERROR(INDEX(Base!$K$3:$K$980,MATCH($K22,Base!$B$3:$B$980,0)),"sem estoque")</f>
        <v>451</v>
      </c>
      <c r="F22" s="27">
        <f>INDEX(Base!$L$3:$L$980,MATCH($K22,Base!$B$3:$B$980,0))</f>
        <v>17.5035918012092</v>
      </c>
      <c r="G22" s="28">
        <f>INDEX(Base!$M$3:$M$980,MATCH($K22,Base!$B$3:$B$980,0))</f>
        <v>25.766140179802616</v>
      </c>
      <c r="H22" s="28">
        <f>INDEX(Base!$N$3:$N$980,MATCH($K22,Base!$B$3:$B$980,0))</f>
        <v>16.148955091151599</v>
      </c>
      <c r="I22" s="28">
        <f>INDEX(Base!$O$3:$O$980,MATCH($K22,Base!$B$3:$B$980,0))</f>
        <v>16.148955091151599</v>
      </c>
      <c r="J22" s="29"/>
      <c r="K22" s="30" t="s">
        <v>42</v>
      </c>
    </row>
    <row r="23" spans="2:11" ht="14.25" hidden="1" customHeight="1" outlineLevel="1" x14ac:dyDescent="0.35">
      <c r="B23" s="24" t="str">
        <f>INDEX(Base!$H$3:$H$980,MATCH($K23,Base!$B$3:$B$980,0))</f>
        <v xml:space="preserve"> TENDER CRISPY FILE NOVO BK CX 4X2,5 KG </v>
      </c>
      <c r="C23" s="25" t="str">
        <f>IFERROR(IF(INDEX(Base!$I$3:$I$980,MATCH($K23,Base!$B$3:$B$980,0))="","",INDEX(Base!$I$3:$I$980,MATCH($K23,Base!$B$3:$B$980,0))),"sem fornecedor")</f>
        <v>BRF</v>
      </c>
      <c r="D23" s="26">
        <f>INDEX(Base!$E$3:$E$980,MATCH($K23,Base!$B$3:$B$980,0))</f>
        <v>201010000539</v>
      </c>
      <c r="E23" s="27">
        <f>IFERROR(INDEX(Base!$K$3:$K$980,MATCH($K23,Base!$B$3:$B$980,0)),"sem estoque")</f>
        <v>759</v>
      </c>
      <c r="F23" s="27">
        <f>INDEX(Base!$L$3:$L$980,MATCH($K23,Base!$B$3:$B$980,0))</f>
        <v>11.371564716111401</v>
      </c>
      <c r="G23" s="28">
        <f>INDEX(Base!$M$3:$M$980,MATCH($K23,Base!$B$3:$B$980,0))</f>
        <v>66.745432044601358</v>
      </c>
      <c r="H23" s="28">
        <f>INDEX(Base!$N$3:$N$980,MATCH($K23,Base!$B$3:$B$980,0))</f>
        <v>18.5</v>
      </c>
      <c r="I23" s="28">
        <f>INDEX(Base!$O$3:$O$980,MATCH($K23,Base!$B$3:$B$980,0))</f>
        <v>18.5</v>
      </c>
      <c r="J23" s="29"/>
      <c r="K23" s="30" t="s">
        <v>43</v>
      </c>
    </row>
    <row r="24" spans="2:11" ht="14.25" hidden="1" customHeight="1" outlineLevel="1" x14ac:dyDescent="0.35">
      <c r="B24" s="24" t="str">
        <f>INDEX(Base!$H$3:$H$980,MATCH($K24,Base!$B$3:$B$980,0))</f>
        <v xml:space="preserve"> HAMBURGUER REBEL SABOR PICANHA CX 122 UND 12KG </v>
      </c>
      <c r="C24" s="25" t="str">
        <f>IFERROR(IF(INDEX(Base!$I$3:$I$980,MATCH($K24,Base!$B$3:$B$980,0))="","",INDEX(Base!$I$3:$I$980,MATCH($K24,Base!$B$3:$B$980,0))),"sem fornecedor")</f>
        <v>PLANTPLUS2</v>
      </c>
      <c r="D24" s="26">
        <f>INDEX(Base!$E$3:$E$980,MATCH($K24,Base!$B$3:$B$980,0))</f>
        <v>201010000654</v>
      </c>
      <c r="E24" s="27">
        <f>IFERROR(INDEX(Base!$K$3:$K$980,MATCH($K24,Base!$B$3:$B$980,0)),"sem estoque")</f>
        <v>122</v>
      </c>
      <c r="F24" s="27">
        <f>INDEX(Base!$L$3:$L$980,MATCH($K24,Base!$B$3:$B$980,0))</f>
        <v>8.9508348752079705</v>
      </c>
      <c r="G24" s="28">
        <f>INDEX(Base!$M$3:$M$980,MATCH($K24,Base!$B$3:$B$980,0))</f>
        <v>13.630013479291826</v>
      </c>
      <c r="H24" s="28">
        <f>INDEX(Base!$N$3:$N$980,MATCH($K24,Base!$B$3:$B$980,0))</f>
        <v>17.141750580945001</v>
      </c>
      <c r="I24" s="28">
        <f>INDEX(Base!$O$3:$O$980,MATCH($K24,Base!$B$3:$B$980,0))</f>
        <v>13.630013479291826</v>
      </c>
      <c r="J24" s="29"/>
      <c r="K24" s="30" t="s">
        <v>44</v>
      </c>
    </row>
    <row r="25" spans="2:11" ht="14.25" customHeight="1" collapsed="1" x14ac:dyDescent="0.35">
      <c r="B25" s="19" t="s">
        <v>45</v>
      </c>
      <c r="C25" s="19"/>
      <c r="D25" s="20"/>
      <c r="E25" s="21">
        <f>SUMIFS(Base!$K$3:$K$980,Base!$J$3:$J$980,"Ara",Base!$G$3:$G$980,$B25,Base!$K$3:$K$980,"&lt;&gt;#N/A")</f>
        <v>3466</v>
      </c>
      <c r="F25" s="21">
        <f>SUMIFS(Base!$L$3:$L$980,Base!$J$3:$J$980,"Ara",Base!$G$3:$G$980,$B25)</f>
        <v>357.5008002071346</v>
      </c>
      <c r="G25" s="22">
        <f>IFERROR(E25/F25,0)</f>
        <v>9.6950831941965241</v>
      </c>
      <c r="H25" s="22"/>
      <c r="I25" s="22">
        <f>IFERROR(SUMIFS(Base!$P$3:$P$980,Base!$J$3:$J$980,"Ara",Base!$G$3:$G$980,$B25)/F25,0)</f>
        <v>9.6950831941965241</v>
      </c>
      <c r="J25" s="23">
        <f>1+SUMPRODUCT(($K$6:$K$114="")*($I$6:$I$114&lt;I25))</f>
        <v>2</v>
      </c>
      <c r="K25" s="23"/>
    </row>
    <row r="26" spans="2:11" ht="14.25" hidden="1" customHeight="1" outlineLevel="1" x14ac:dyDescent="0.35">
      <c r="B26" s="24" t="str">
        <f>INDEX(Base!$H$3:$H$980,MATCH($K26,Base!$B$3:$B$980,0))</f>
        <v xml:space="preserve"> BEBIDA LACTEA UHT BAUNILHA BK 10 L X 2 UN </v>
      </c>
      <c r="C26" s="25" t="str">
        <f>IFERROR(IF(INDEX(Base!$I$3:$I$980,MATCH($K26,Base!$B$3:$B$980,0))="","",INDEX(Base!$I$3:$I$980,MATCH($K26,Base!$B$3:$B$980,0))),"sem fornecedor")</f>
        <v>POLENGHI2</v>
      </c>
      <c r="D26" s="26">
        <f>INDEX(Base!$E$3:$E$980,MATCH($K26,Base!$B$3:$B$980,0))</f>
        <v>241000000044</v>
      </c>
      <c r="E26" s="27">
        <f>IFERROR(INDEX(Base!$K$3:$K$980,MATCH($K26,Base!$B$3:$B$980,0)),"sem estoque")</f>
        <v>1329</v>
      </c>
      <c r="F26" s="27">
        <f>INDEX(Base!$L$3:$L$980,MATCH($K26,Base!$B$3:$B$980,0))</f>
        <v>187.14125847849101</v>
      </c>
      <c r="G26" s="28">
        <f>INDEX(Base!$M$3:$M$980,MATCH($K26,Base!$B$3:$B$980,0))</f>
        <v>7.1015873827349942</v>
      </c>
      <c r="H26" s="28">
        <f>INDEX(Base!$N$3:$N$980,MATCH($K26,Base!$B$3:$B$980,0))</f>
        <v>16.5</v>
      </c>
      <c r="I26" s="28">
        <f>INDEX(Base!$O$3:$O$980,MATCH($K26,Base!$B$3:$B$980,0))</f>
        <v>7.1015873827349942</v>
      </c>
      <c r="J26" s="29"/>
      <c r="K26" s="30" t="s">
        <v>46</v>
      </c>
    </row>
    <row r="27" spans="2:11" ht="14.25" hidden="1" customHeight="1" outlineLevel="1" x14ac:dyDescent="0.35">
      <c r="B27" s="24" t="str">
        <f>INDEX(Base!$H$3:$H$980,MATCH($K27,Base!$B$3:$B$980,0))</f>
        <v xml:space="preserve"> QUEIJO CHEDDAR CLEAN NAC BK CX 17,66 KG </v>
      </c>
      <c r="C27" s="25" t="str">
        <f>IFERROR(IF(INDEX(Base!$I$3:$I$980,MATCH($K27,Base!$B$3:$B$980,0))="","",INDEX(Base!$I$3:$I$980,MATCH($K27,Base!$B$3:$B$980,0))),"sem fornecedor")</f>
        <v>POLENGHI I</v>
      </c>
      <c r="D27" s="26">
        <f>INDEX(Base!$E$3:$E$980,MATCH($K27,Base!$B$3:$B$980,0))</f>
        <v>201010000628</v>
      </c>
      <c r="E27" s="27">
        <f>IFERROR(INDEX(Base!$K$3:$K$980,MATCH($K27,Base!$B$3:$B$980,0)),"sem estoque")</f>
        <v>1627</v>
      </c>
      <c r="F27" s="27">
        <f>INDEX(Base!$L$3:$L$980,MATCH($K27,Base!$B$3:$B$980,0))</f>
        <v>113.65784625485</v>
      </c>
      <c r="G27" s="28">
        <f>INDEX(Base!$M$3:$M$980,MATCH($K27,Base!$B$3:$B$980,0))</f>
        <v>14.314893811658628</v>
      </c>
      <c r="H27" s="28">
        <f>INDEX(Base!$N$3:$N$980,MATCH($K27,Base!$B$3:$B$980,0))</f>
        <v>16.909981881074</v>
      </c>
      <c r="I27" s="28">
        <f>INDEX(Base!$O$3:$O$980,MATCH($K27,Base!$B$3:$B$980,0))</f>
        <v>14.314893811658628</v>
      </c>
      <c r="J27" s="29"/>
      <c r="K27" s="30" t="s">
        <v>47</v>
      </c>
    </row>
    <row r="28" spans="2:11" ht="14.25" hidden="1" customHeight="1" outlineLevel="1" x14ac:dyDescent="0.35">
      <c r="B28" s="24" t="str">
        <f>INDEX(Base!$H$3:$H$980,MATCH($K28,Base!$B$3:$B$980,0))</f>
        <v xml:space="preserve"> BEBIDA LACTEA DOCE DE LEITE UHT BK CX10X2UN </v>
      </c>
      <c r="C28" s="25" t="str">
        <f>IFERROR(IF(INDEX(Base!$I$3:$I$980,MATCH($K28,Base!$B$3:$B$980,0))="","",INDEX(Base!$I$3:$I$980,MATCH($K28,Base!$B$3:$B$980,0))),"sem fornecedor")</f>
        <v>POLENGHI2</v>
      </c>
      <c r="D28" s="26">
        <f>INDEX(Base!$E$3:$E$980,MATCH($K28,Base!$B$3:$B$980,0))</f>
        <v>201010000527</v>
      </c>
      <c r="E28" s="27">
        <f>IFERROR(INDEX(Base!$K$3:$K$980,MATCH($K28,Base!$B$3:$B$980,0)),"sem estoque")</f>
        <v>195</v>
      </c>
      <c r="F28" s="27">
        <f>INDEX(Base!$L$3:$L$980,MATCH($K28,Base!$B$3:$B$980,0))</f>
        <v>28.0052640221807</v>
      </c>
      <c r="G28" s="28">
        <f>INDEX(Base!$M$3:$M$980,MATCH($K28,Base!$B$3:$B$980,0))</f>
        <v>6.9629766691560668</v>
      </c>
      <c r="H28" s="28">
        <f>INDEX(Base!$N$3:$N$980,MATCH($K28,Base!$B$3:$B$980,0))</f>
        <v>18.887308533916901</v>
      </c>
      <c r="I28" s="28">
        <f>INDEX(Base!$O$3:$O$980,MATCH($K28,Base!$B$3:$B$980,0))</f>
        <v>6.9629766691560668</v>
      </c>
      <c r="J28" s="29"/>
      <c r="K28" s="30" t="s">
        <v>48</v>
      </c>
    </row>
    <row r="29" spans="2:11" ht="14.25" hidden="1" customHeight="1" outlineLevel="1" x14ac:dyDescent="0.35">
      <c r="B29" s="24" t="str">
        <f>INDEX(Base!$H$3:$H$980,MATCH($K29,Base!$B$3:$B$980,0))</f>
        <v xml:space="preserve"> MOLHO CHEDDAR BNG 2KGX8UN </v>
      </c>
      <c r="C29" s="25" t="str">
        <f>IFERROR(IF(INDEX(Base!$I$3:$I$980,MATCH($K29,Base!$B$3:$B$980,0))="","",INDEX(Base!$I$3:$I$980,MATCH($K29,Base!$B$3:$B$980,0))),"sem fornecedor")</f>
        <v>POLENGHI</v>
      </c>
      <c r="D29" s="26">
        <f>INDEX(Base!$E$3:$E$980,MATCH($K29,Base!$B$3:$B$980,0))</f>
        <v>201010006004</v>
      </c>
      <c r="E29" s="27">
        <f>IFERROR(INDEX(Base!$K$3:$K$980,MATCH($K29,Base!$B$3:$B$980,0)),"sem estoque")</f>
        <v>315</v>
      </c>
      <c r="F29" s="27">
        <f>INDEX(Base!$L$3:$L$980,MATCH($K29,Base!$B$3:$B$980,0))</f>
        <v>28.696431451612899</v>
      </c>
      <c r="G29" s="28">
        <f>INDEX(Base!$M$3:$M$980,MATCH($K29,Base!$B$3:$B$980,0))</f>
        <v>10.976974629446312</v>
      </c>
      <c r="H29" s="28">
        <f>INDEX(Base!$N$3:$N$980,MATCH($K29,Base!$B$3:$B$980,0))</f>
        <v>19.8624759813341</v>
      </c>
      <c r="I29" s="28">
        <f>INDEX(Base!$O$3:$O$980,MATCH($K29,Base!$B$3:$B$980,0))</f>
        <v>10.976974629446312</v>
      </c>
      <c r="J29" s="29"/>
      <c r="K29" s="30" t="s">
        <v>49</v>
      </c>
    </row>
    <row r="30" spans="2:11" ht="14.25" customHeight="1" collapsed="1" x14ac:dyDescent="0.35">
      <c r="B30" s="19" t="s">
        <v>50</v>
      </c>
      <c r="C30" s="19"/>
      <c r="D30" s="20"/>
      <c r="E30" s="21">
        <f>SUMIFS(Base!$K$3:$K$980,Base!$J$3:$J$980,"Ara",Base!$G$3:$G$980,$B30,Base!$K$3:$K$980,"&lt;&gt;#N/A")</f>
        <v>8861</v>
      </c>
      <c r="F30" s="21">
        <f>SUMIFS(Base!$L$3:$L$980,Base!$J$3:$J$980,"Ara",Base!$G$3:$G$980,$B30)</f>
        <v>337.7559499457023</v>
      </c>
      <c r="G30" s="22">
        <f>IFERROR(E30/F30,0)</f>
        <v>26.234919033771266</v>
      </c>
      <c r="H30" s="22"/>
      <c r="I30" s="22">
        <f>IFERROR(SUMIFS(Base!$P$3:$P$980,Base!$J$3:$J$980,"Ara",Base!$G$3:$G$980,$B30)/F30,0)</f>
        <v>19.063392063374813</v>
      </c>
      <c r="J30" s="23">
        <f>1+SUMPRODUCT(($K$6:$K$114="")*($I$6:$I$114&lt;I30))</f>
        <v>8</v>
      </c>
      <c r="K30" s="23"/>
    </row>
    <row r="31" spans="2:11" ht="14.25" hidden="1" customHeight="1" outlineLevel="1" x14ac:dyDescent="0.35">
      <c r="B31" s="24" t="str">
        <f>INDEX(Base!$H$3:$H$980,MATCH($K31,Base!$B$3:$B$980,0))</f>
        <v xml:space="preserve"> MAIONESE BAG CX6X3KG </v>
      </c>
      <c r="C31" s="25" t="str">
        <f>IFERROR(IF(INDEX(Base!$I$3:$I$980,MATCH($K31,Base!$B$3:$B$980,0))="","",INDEX(Base!$I$3:$I$980,MATCH($K31,Base!$B$3:$B$980,0))),"sem fornecedor")</f>
        <v>KERRY</v>
      </c>
      <c r="D31" s="26">
        <f>INDEX(Base!$E$3:$E$980,MATCH($K31,Base!$B$3:$B$980,0))</f>
        <v>201010000317</v>
      </c>
      <c r="E31" s="27">
        <f>IFERROR(INDEX(Base!$K$3:$K$980,MATCH($K31,Base!$B$3:$B$980,0)),"sem estoque")</f>
        <v>1242</v>
      </c>
      <c r="F31" s="27">
        <f>INDEX(Base!$L$3:$L$980,MATCH($K31,Base!$B$3:$B$980,0))</f>
        <v>73.593445341090501</v>
      </c>
      <c r="G31" s="28">
        <f>INDEX(Base!$M$3:$M$980,MATCH($K31,Base!$B$3:$B$980,0))</f>
        <v>16.876502985334973</v>
      </c>
      <c r="H31" s="28">
        <f>INDEX(Base!$N$3:$N$980,MATCH($K31,Base!$B$3:$B$980,0))</f>
        <v>15.9663709387364</v>
      </c>
      <c r="I31" s="28">
        <f>INDEX(Base!$O$3:$O$980,MATCH($K31,Base!$B$3:$B$980,0))</f>
        <v>15.9663709387364</v>
      </c>
      <c r="J31" s="29"/>
      <c r="K31" s="30" t="s">
        <v>51</v>
      </c>
    </row>
    <row r="32" spans="2:11" ht="14.25" hidden="1" customHeight="1" outlineLevel="1" x14ac:dyDescent="0.35">
      <c r="B32" s="24" t="str">
        <f>INDEX(Base!$H$3:$H$980,MATCH($K32,Base!$B$3:$B$980,0))</f>
        <v xml:space="preserve"> SACHE KETCHUP BK HEINZ CX 1500X7GR </v>
      </c>
      <c r="C32" s="25" t="str">
        <f>IFERROR(IF(INDEX(Base!$I$3:$I$980,MATCH($K32,Base!$B$3:$B$980,0))="","",INDEX(Base!$I$3:$I$980,MATCH($K32,Base!$B$3:$B$980,0))),"sem fornecedor")</f>
        <v>HEINZ</v>
      </c>
      <c r="D32" s="26">
        <f>INDEX(Base!$E$3:$E$980,MATCH($K32,Base!$B$3:$B$980,0))</f>
        <v>201010000417</v>
      </c>
      <c r="E32" s="27">
        <f>IFERROR(INDEX(Base!$K$3:$K$980,MATCH($K32,Base!$B$3:$B$980,0)),"sem estoque")</f>
        <v>1554</v>
      </c>
      <c r="F32" s="27">
        <f>INDEX(Base!$L$3:$L$980,MATCH($K32,Base!$B$3:$B$980,0))</f>
        <v>45.805604695063401</v>
      </c>
      <c r="G32" s="28">
        <f>INDEX(Base!$M$3:$M$980,MATCH($K32,Base!$B$3:$B$980,0))</f>
        <v>33.925979371853572</v>
      </c>
      <c r="H32" s="28">
        <f>INDEX(Base!$N$3:$N$980,MATCH($K32,Base!$B$3:$B$980,0))</f>
        <v>15.8001979129183</v>
      </c>
      <c r="I32" s="28">
        <f>INDEX(Base!$O$3:$O$980,MATCH($K32,Base!$B$3:$B$980,0))</f>
        <v>15.8001979129183</v>
      </c>
      <c r="J32" s="29"/>
      <c r="K32" s="30" t="s">
        <v>52</v>
      </c>
    </row>
    <row r="33" spans="2:11" ht="14.25" hidden="1" customHeight="1" outlineLevel="1" x14ac:dyDescent="0.35">
      <c r="B33" s="24" t="str">
        <f>INDEX(Base!$H$3:$H$980,MATCH($K33,Base!$B$3:$B$980,0))</f>
        <v xml:space="preserve"> MOLHO STACKER BAG CL BK CX5X1,1KG </v>
      </c>
      <c r="C33" s="25" t="str">
        <f>IFERROR(IF(INDEX(Base!$I$3:$I$980,MATCH($K33,Base!$B$3:$B$980,0))="","",INDEX(Base!$I$3:$I$980,MATCH($K33,Base!$B$3:$B$980,0))),"sem fornecedor")</f>
        <v>KERRY</v>
      </c>
      <c r="D33" s="26">
        <f>INDEX(Base!$E$3:$E$980,MATCH($K33,Base!$B$3:$B$980,0))</f>
        <v>201010000482</v>
      </c>
      <c r="E33" s="27">
        <f>IFERROR(INDEX(Base!$K$3:$K$980,MATCH($K33,Base!$B$3:$B$980,0)),"sem estoque")</f>
        <v>1552</v>
      </c>
      <c r="F33" s="27">
        <f>INDEX(Base!$L$3:$L$980,MATCH($K33,Base!$B$3:$B$980,0))</f>
        <v>71.266770560772898</v>
      </c>
      <c r="G33" s="28">
        <f>INDEX(Base!$M$3:$M$980,MATCH($K33,Base!$B$3:$B$980,0))</f>
        <v>21.777330273111346</v>
      </c>
      <c r="H33" s="28">
        <f>INDEX(Base!$N$3:$N$980,MATCH($K33,Base!$B$3:$B$980,0))</f>
        <v>17.9826773380112</v>
      </c>
      <c r="I33" s="28">
        <f>INDEX(Base!$O$3:$O$980,MATCH($K33,Base!$B$3:$B$980,0))</f>
        <v>17.9826773380112</v>
      </c>
      <c r="J33" s="29"/>
      <c r="K33" s="30" t="s">
        <v>53</v>
      </c>
    </row>
    <row r="34" spans="2:11" ht="14.25" hidden="1" customHeight="1" outlineLevel="1" x14ac:dyDescent="0.35">
      <c r="B34" s="24" t="str">
        <f>INDEX(Base!$H$3:$H$980,MATCH($K34,Base!$B$3:$B$980,0))</f>
        <v xml:space="preserve"> MOLHO BARBECUE BAG MP BK CX COM 5,5 KG </v>
      </c>
      <c r="C34" s="25" t="str">
        <f>IFERROR(IF(INDEX(Base!$I$3:$I$980,MATCH($K34,Base!$B$3:$B$980,0))="","",INDEX(Base!$I$3:$I$980,MATCH($K34,Base!$B$3:$B$980,0))),"sem fornecedor")</f>
        <v>MECANOPACK</v>
      </c>
      <c r="D34" s="26">
        <f>INDEX(Base!$E$3:$E$980,MATCH($K34,Base!$B$3:$B$980,0))</f>
        <v>201010000322</v>
      </c>
      <c r="E34" s="27">
        <f>IFERROR(INDEX(Base!$K$3:$K$980,MATCH($K34,Base!$B$3:$B$980,0)),"sem estoque")</f>
        <v>764</v>
      </c>
      <c r="F34" s="27">
        <f>INDEX(Base!$L$3:$L$980,MATCH($K34,Base!$B$3:$B$980,0))</f>
        <v>46.298885630452297</v>
      </c>
      <c r="G34" s="28">
        <f>INDEX(Base!$M$3:$M$980,MATCH($K34,Base!$B$3:$B$980,0))</f>
        <v>16.501477078694354</v>
      </c>
      <c r="H34" s="28">
        <f>INDEX(Base!$N$3:$N$980,MATCH($K34,Base!$B$3:$B$980,0))</f>
        <v>25</v>
      </c>
      <c r="I34" s="28">
        <f>INDEX(Base!$O$3:$O$980,MATCH($K34,Base!$B$3:$B$980,0))</f>
        <v>16.501477078694354</v>
      </c>
      <c r="J34" s="29"/>
      <c r="K34" s="30" t="s">
        <v>54</v>
      </c>
    </row>
    <row r="35" spans="2:11" ht="14.25" hidden="1" customHeight="1" outlineLevel="1" x14ac:dyDescent="0.35">
      <c r="B35" s="24" t="str">
        <f>INDEX(Base!$H$3:$H$980,MATCH($K35,Base!$B$3:$B$980,0))</f>
        <v xml:space="preserve"> MAIONESE GRANEL SABOR BACON CX5,5KG </v>
      </c>
      <c r="C35" s="25" t="str">
        <f>IFERROR(IF(INDEX(Base!$I$3:$I$980,MATCH($K35,Base!$B$3:$B$980,0))="","",INDEX(Base!$I$3:$I$980,MATCH($K35,Base!$B$3:$B$980,0))),"sem fornecedor")</f>
        <v>KERRY</v>
      </c>
      <c r="D35" s="26">
        <f>INDEX(Base!$E$3:$E$980,MATCH($K35,Base!$B$3:$B$980,0))</f>
        <v>201010000406</v>
      </c>
      <c r="E35" s="27">
        <f>IFERROR(INDEX(Base!$K$3:$K$980,MATCH($K35,Base!$B$3:$B$980,0)),"sem estoque")</f>
        <v>1214</v>
      </c>
      <c r="F35" s="27">
        <f>INDEX(Base!$L$3:$L$980,MATCH($K35,Base!$B$3:$B$980,0))</f>
        <v>26.497756598214</v>
      </c>
      <c r="G35" s="28">
        <f>INDEX(Base!$M$3:$M$980,MATCH($K35,Base!$B$3:$B$980,0))</f>
        <v>45.815199316980141</v>
      </c>
      <c r="H35" s="28">
        <f>INDEX(Base!$N$3:$N$980,MATCH($K35,Base!$B$3:$B$980,0))</f>
        <v>36</v>
      </c>
      <c r="I35" s="28">
        <f>INDEX(Base!$O$3:$O$980,MATCH($K35,Base!$B$3:$B$980,0))</f>
        <v>36</v>
      </c>
      <c r="J35" s="29"/>
      <c r="K35" s="30" t="s">
        <v>55</v>
      </c>
    </row>
    <row r="36" spans="2:11" ht="14.25" hidden="1" customHeight="1" outlineLevel="1" x14ac:dyDescent="0.35">
      <c r="B36" s="24" t="str">
        <f>INDEX(Base!$H$3:$H$980,MATCH($K36,Base!$B$3:$B$980,0))</f>
        <v xml:space="preserve"> KETCHUP A GRANEL BK HEINZ CX 8X2KG </v>
      </c>
      <c r="C36" s="25" t="str">
        <f>IFERROR(IF(INDEX(Base!$I$3:$I$980,MATCH($K36,Base!$B$3:$B$980,0))="","",INDEX(Base!$I$3:$I$980,MATCH($K36,Base!$B$3:$B$980,0))),"sem fornecedor")</f>
        <v>HEINZ</v>
      </c>
      <c r="D36" s="26">
        <f>INDEX(Base!$E$3:$E$980,MATCH($K36,Base!$B$3:$B$980,0))</f>
        <v>201010000567</v>
      </c>
      <c r="E36" s="27">
        <f>IFERROR(INDEX(Base!$K$3:$K$980,MATCH($K36,Base!$B$3:$B$980,0)),"sem estoque")</f>
        <v>763</v>
      </c>
      <c r="F36" s="27">
        <f>INDEX(Base!$L$3:$L$980,MATCH($K36,Base!$B$3:$B$980,0))</f>
        <v>21.036582644465401</v>
      </c>
      <c r="G36" s="28">
        <f>INDEX(Base!$M$3:$M$980,MATCH($K36,Base!$B$3:$B$980,0))</f>
        <v>36.270149619607572</v>
      </c>
      <c r="H36" s="28">
        <f>INDEX(Base!$N$3:$N$980,MATCH($K36,Base!$B$3:$B$980,0))</f>
        <v>21.631543847949299</v>
      </c>
      <c r="I36" s="28">
        <f>INDEX(Base!$O$3:$O$980,MATCH($K36,Base!$B$3:$B$980,0))</f>
        <v>21.631543847949299</v>
      </c>
      <c r="J36" s="29"/>
      <c r="K36" s="30" t="s">
        <v>56</v>
      </c>
    </row>
    <row r="37" spans="2:11" ht="14.25" hidden="1" customHeight="1" outlineLevel="1" x14ac:dyDescent="0.35">
      <c r="B37" s="24" t="str">
        <f>INDEX(Base!$H$3:$H$980,MATCH($K37,Base!$B$3:$B$980,0))</f>
        <v xml:space="preserve"> MOSTARDA HEINZ BK SACHE 2304 5G </v>
      </c>
      <c r="C37" s="25" t="str">
        <f>IFERROR(IF(INDEX(Base!$I$3:$I$980,MATCH($K37,Base!$B$3:$B$980,0))="","",INDEX(Base!$I$3:$I$980,MATCH($K37,Base!$B$3:$B$980,0))),"sem fornecedor")</f>
        <v>HEINZ</v>
      </c>
      <c r="D37" s="26">
        <f>INDEX(Base!$E$3:$E$980,MATCH($K37,Base!$B$3:$B$980,0))</f>
        <v>201010000616</v>
      </c>
      <c r="E37" s="27">
        <f>IFERROR(INDEX(Base!$K$3:$K$980,MATCH($K37,Base!$B$3:$B$980,0)),"sem estoque")</f>
        <v>452</v>
      </c>
      <c r="F37" s="27">
        <f>INDEX(Base!$L$3:$L$980,MATCH($K37,Base!$B$3:$B$980,0))</f>
        <v>14.1649256055858</v>
      </c>
      <c r="G37" s="28">
        <f>INDEX(Base!$M$3:$M$980,MATCH($K37,Base!$B$3:$B$980,0))</f>
        <v>31.909804017732235</v>
      </c>
      <c r="H37" s="28">
        <f>INDEX(Base!$N$3:$N$980,MATCH($K37,Base!$B$3:$B$980,0))</f>
        <v>17.795143212951398</v>
      </c>
      <c r="I37" s="28">
        <f>INDEX(Base!$O$3:$O$980,MATCH($K37,Base!$B$3:$B$980,0))</f>
        <v>17.795143212951398</v>
      </c>
      <c r="J37" s="29"/>
      <c r="K37" s="30" t="s">
        <v>57</v>
      </c>
    </row>
    <row r="38" spans="2:11" ht="14.25" hidden="1" customHeight="1" outlineLevel="1" x14ac:dyDescent="0.35">
      <c r="B38" s="24" t="str">
        <f>INDEX(Base!$H$3:$H$980,MATCH($K38,Base!$B$3:$B$980,0))</f>
        <v xml:space="preserve"> MOLHO FURIOSO NCM BK 5.5KG CLEAN </v>
      </c>
      <c r="C38" s="25" t="str">
        <f>IFERROR(IF(INDEX(Base!$I$3:$I$980,MATCH($K38,Base!$B$3:$B$980,0))="","",INDEX(Base!$I$3:$I$980,MATCH($K38,Base!$B$3:$B$980,0))),"sem fornecedor")</f>
        <v>KERRY</v>
      </c>
      <c r="D38" s="26">
        <f>INDEX(Base!$E$3:$E$980,MATCH($K38,Base!$B$3:$B$980,0))</f>
        <v>201010000324</v>
      </c>
      <c r="E38" s="27">
        <f>IFERROR(INDEX(Base!$K$3:$K$980,MATCH($K38,Base!$B$3:$B$980,0)),"sem estoque")</f>
        <v>631</v>
      </c>
      <c r="F38" s="27">
        <f>INDEX(Base!$L$3:$L$980,MATCH($K38,Base!$B$3:$B$980,0))</f>
        <v>14.643601356169601</v>
      </c>
      <c r="G38" s="28">
        <f>INDEX(Base!$M$3:$M$980,MATCH($K38,Base!$B$3:$B$980,0))</f>
        <v>43.090492881667316</v>
      </c>
      <c r="H38" s="28">
        <f>INDEX(Base!$N$3:$N$980,MATCH($K38,Base!$B$3:$B$980,0))</f>
        <v>26.544871794871799</v>
      </c>
      <c r="I38" s="28">
        <f>INDEX(Base!$O$3:$O$980,MATCH($K38,Base!$B$3:$B$980,0))</f>
        <v>26.544871794871799</v>
      </c>
      <c r="J38" s="29"/>
      <c r="K38" s="30" t="s">
        <v>58</v>
      </c>
    </row>
    <row r="39" spans="2:11" ht="14.25" hidden="1" customHeight="1" outlineLevel="1" x14ac:dyDescent="0.35">
      <c r="B39" s="24" t="str">
        <f>INDEX(Base!$H$3:$H$980,MATCH($K39,Base!$B$3:$B$980,0))</f>
        <v xml:space="preserve"> MAIONESE SACHET SABOR BACON CX C/304 UND </v>
      </c>
      <c r="C39" s="25" t="str">
        <f>IFERROR(IF(INDEX(Base!$I$3:$I$980,MATCH($K39,Base!$B$3:$B$980,0))="","",INDEX(Base!$I$3:$I$980,MATCH($K39,Base!$B$3:$B$980,0))),"sem fornecedor")</f>
        <v>KERRY</v>
      </c>
      <c r="D39" s="26">
        <f>INDEX(Base!$E$3:$E$980,MATCH($K39,Base!$B$3:$B$980,0))</f>
        <v>201010000455</v>
      </c>
      <c r="E39" s="27">
        <f>IFERROR(INDEX(Base!$K$3:$K$980,MATCH($K39,Base!$B$3:$B$980,0)),"sem estoque")</f>
        <v>193</v>
      </c>
      <c r="F39" s="27">
        <f>INDEX(Base!$L$3:$L$980,MATCH($K39,Base!$B$3:$B$980,0))</f>
        <v>6.2039323835196702</v>
      </c>
      <c r="G39" s="28">
        <f>INDEX(Base!$M$3:$M$980,MATCH($K39,Base!$B$3:$B$980,0))</f>
        <v>31.109301015706027</v>
      </c>
      <c r="H39" s="28">
        <f>INDEX(Base!$N$3:$N$980,MATCH($K39,Base!$B$3:$B$980,0))</f>
        <v>20.287958115183201</v>
      </c>
      <c r="I39" s="28">
        <f>INDEX(Base!$O$3:$O$980,MATCH($K39,Base!$B$3:$B$980,0))</f>
        <v>20.287958115183201</v>
      </c>
      <c r="J39" s="29"/>
      <c r="K39" s="30" t="s">
        <v>59</v>
      </c>
    </row>
    <row r="40" spans="2:11" ht="14.25" hidden="1" customHeight="1" outlineLevel="1" x14ac:dyDescent="0.35">
      <c r="B40" s="24" t="str">
        <f>INDEX(Base!$H$3:$H$980,MATCH($K40,Base!$B$3:$B$980,0))</f>
        <v xml:space="preserve"> MOLHO BARBECUE BLISTER BK MP CX COM 144 UND 28G </v>
      </c>
      <c r="C40" s="25" t="str">
        <f>IFERROR(IF(INDEX(Base!$I$3:$I$980,MATCH($K40,Base!$B$3:$B$980,0))="","",INDEX(Base!$I$3:$I$980,MATCH($K40,Base!$B$3:$B$980,0))),"sem fornecedor")</f>
        <v>MECANOPACK</v>
      </c>
      <c r="D40" s="26">
        <f>INDEX(Base!$E$3:$E$980,MATCH($K40,Base!$B$3:$B$980,0))</f>
        <v>201010000561</v>
      </c>
      <c r="E40" s="27">
        <f>IFERROR(INDEX(Base!$K$3:$K$980,MATCH($K40,Base!$B$3:$B$980,0)),"sem estoque")</f>
        <v>64</v>
      </c>
      <c r="F40" s="27">
        <f>INDEX(Base!$L$3:$L$980,MATCH($K40,Base!$B$3:$B$980,0))</f>
        <v>5.0277885255684698</v>
      </c>
      <c r="G40" s="28">
        <f>INDEX(Base!$M$3:$M$980,MATCH($K40,Base!$B$3:$B$980,0))</f>
        <v>12.72925455685585</v>
      </c>
      <c r="H40" s="28">
        <f>INDEX(Base!$N$3:$N$980,MATCH($K40,Base!$B$3:$B$980,0))</f>
        <v>23</v>
      </c>
      <c r="I40" s="28">
        <f>INDEX(Base!$O$3:$O$980,MATCH($K40,Base!$B$3:$B$980,0))</f>
        <v>12.72925455685585</v>
      </c>
      <c r="J40" s="29"/>
      <c r="K40" s="30" t="s">
        <v>60</v>
      </c>
    </row>
    <row r="41" spans="2:11" ht="14.25" hidden="1" customHeight="1" outlineLevel="1" x14ac:dyDescent="0.35">
      <c r="B41" s="24" t="str">
        <f>INDEX(Base!$H$3:$H$980,MATCH($K41,Base!$B$3:$B$980,0))</f>
        <v xml:space="preserve"> MOLHO FURIOSO BK NCM CX 144 BLISTER 28G UND </v>
      </c>
      <c r="C41" s="25" t="str">
        <f>IFERROR(IF(INDEX(Base!$I$3:$I$980,MATCH($K41,Base!$B$3:$B$980,0))="","",INDEX(Base!$I$3:$I$980,MATCH($K41,Base!$B$3:$B$980,0))),"sem fornecedor")</f>
        <v>KERRY</v>
      </c>
      <c r="D41" s="26">
        <f>INDEX(Base!$E$3:$E$980,MATCH($K41,Base!$B$3:$B$980,0))</f>
        <v>201010000562</v>
      </c>
      <c r="E41" s="27">
        <f>IFERROR(INDEX(Base!$K$3:$K$980,MATCH($K41,Base!$B$3:$B$980,0)),"sem estoque")</f>
        <v>72</v>
      </c>
      <c r="F41" s="27">
        <f>INDEX(Base!$L$3:$L$980,MATCH($K41,Base!$B$3:$B$980,0))</f>
        <v>4.7625329878985001</v>
      </c>
      <c r="G41" s="28">
        <f>INDEX(Base!$M$3:$M$980,MATCH($K41,Base!$B$3:$B$980,0))</f>
        <v>15.118005519951367</v>
      </c>
      <c r="H41" s="28">
        <f>INDEX(Base!$N$3:$N$980,MATCH($K41,Base!$B$3:$B$980,0))</f>
        <v>19.661179698216699</v>
      </c>
      <c r="I41" s="28">
        <f>INDEX(Base!$O$3:$O$980,MATCH($K41,Base!$B$3:$B$980,0))</f>
        <v>15.118005519951367</v>
      </c>
      <c r="J41" s="29"/>
      <c r="K41" s="30" t="s">
        <v>61</v>
      </c>
    </row>
    <row r="42" spans="2:11" ht="14.25" hidden="1" customHeight="1" outlineLevel="1" x14ac:dyDescent="0.35">
      <c r="B42" s="24" t="str">
        <f>INDEX(Base!$H$3:$H$980,MATCH($K42,Base!$B$3:$B$980,0))</f>
        <v xml:space="preserve"> MAIONESE VERDE SACHET CX COM 304 UND </v>
      </c>
      <c r="C42" s="25" t="str">
        <f>IFERROR(IF(INDEX(Base!$I$3:$I$980,MATCH($K42,Base!$B$3:$B$980,0))="","",INDEX(Base!$I$3:$I$980,MATCH($K42,Base!$B$3:$B$980,0))),"sem fornecedor")</f>
        <v>KERRY</v>
      </c>
      <c r="D42" s="26">
        <f>INDEX(Base!$E$3:$E$980,MATCH($K42,Base!$B$3:$B$980,0))</f>
        <v>201010000633</v>
      </c>
      <c r="E42" s="27">
        <f>IFERROR(INDEX(Base!$K$3:$K$980,MATCH($K42,Base!$B$3:$B$980,0)),"sem estoque")</f>
        <v>137</v>
      </c>
      <c r="F42" s="27">
        <f>INDEX(Base!$L$3:$L$980,MATCH($K42,Base!$B$3:$B$980,0))</f>
        <v>2.5406527678401898</v>
      </c>
      <c r="G42" s="28">
        <f>INDEX(Base!$M$3:$M$980,MATCH($K42,Base!$B$3:$B$980,0))</f>
        <v>53.923149882643649</v>
      </c>
      <c r="H42" s="28">
        <f>INDEX(Base!$N$3:$N$980,MATCH($K42,Base!$B$3:$B$980,0))</f>
        <v>22.2323232323232</v>
      </c>
      <c r="I42" s="28">
        <f>INDEX(Base!$O$3:$O$980,MATCH($K42,Base!$B$3:$B$980,0))</f>
        <v>22.2323232323232</v>
      </c>
      <c r="J42" s="29"/>
      <c r="K42" s="30" t="s">
        <v>62</v>
      </c>
    </row>
    <row r="43" spans="2:11" ht="14.25" hidden="1" customHeight="1" outlineLevel="1" x14ac:dyDescent="0.35">
      <c r="B43" s="24" t="str">
        <f>INDEX(Base!$H$3:$H$980,MATCH($K43,Base!$B$3:$B$980,0))</f>
        <v xml:space="preserve"> SACHET MAIONESE CLEAN BK CX 600UND </v>
      </c>
      <c r="C43" s="25" t="str">
        <f>IFERROR(IF(INDEX(Base!$I$3:$I$980,MATCH($K43,Base!$B$3:$B$980,0))="","",INDEX(Base!$I$3:$I$980,MATCH($K43,Base!$B$3:$B$980,0))),"sem fornecedor")</f>
        <v>KERRY</v>
      </c>
      <c r="D43" s="26">
        <f>INDEX(Base!$E$3:$E$980,MATCH($K43,Base!$B$3:$B$980,0))</f>
        <v>201010000376</v>
      </c>
      <c r="E43" s="27">
        <f>IFERROR(INDEX(Base!$K$3:$K$980,MATCH($K43,Base!$B$3:$B$980,0)),"sem estoque")</f>
        <v>115</v>
      </c>
      <c r="F43" s="27">
        <f>INDEX(Base!$L$3:$L$980,MATCH($K43,Base!$B$3:$B$980,0))</f>
        <v>3.3586837244538499</v>
      </c>
      <c r="G43" s="28">
        <f>INDEX(Base!$M$3:$M$980,MATCH($K43,Base!$B$3:$B$980,0))</f>
        <v>34.239603795591073</v>
      </c>
      <c r="H43" s="28">
        <f>INDEX(Base!$N$3:$N$980,MATCH($K43,Base!$B$3:$B$980,0))</f>
        <v>18.654478976234</v>
      </c>
      <c r="I43" s="28">
        <f>INDEX(Base!$O$3:$O$980,MATCH($K43,Base!$B$3:$B$980,0))</f>
        <v>18.654478976234</v>
      </c>
      <c r="J43" s="29"/>
      <c r="K43" s="30" t="s">
        <v>63</v>
      </c>
    </row>
    <row r="44" spans="2:11" ht="14.25" hidden="1" customHeight="1" outlineLevel="1" x14ac:dyDescent="0.35">
      <c r="B44" s="24" t="str">
        <f>INDEX(Base!$H$3:$H$980,MATCH($K44,Base!$B$3:$B$980,0))</f>
        <v xml:space="preserve"> MOSTARDA HEINZ BK BAG 8X2KG </v>
      </c>
      <c r="C44" s="25" t="str">
        <f>IFERROR(IF(INDEX(Base!$I$3:$I$980,MATCH($K44,Base!$B$3:$B$980,0))="","",INDEX(Base!$I$3:$I$980,MATCH($K44,Base!$B$3:$B$980,0))),"sem fornecedor")</f>
        <v>HEINZ</v>
      </c>
      <c r="D44" s="26">
        <f>INDEX(Base!$E$3:$E$980,MATCH($K44,Base!$B$3:$B$980,0))</f>
        <v>201010000617</v>
      </c>
      <c r="E44" s="27">
        <f>IFERROR(INDEX(Base!$K$3:$K$980,MATCH($K44,Base!$B$3:$B$980,0)),"sem estoque")</f>
        <v>108</v>
      </c>
      <c r="F44" s="27">
        <f>INDEX(Base!$L$3:$L$980,MATCH($K44,Base!$B$3:$B$980,0))</f>
        <v>2.5547871246077598</v>
      </c>
      <c r="G44" s="28">
        <f>INDEX(Base!$M$3:$M$980,MATCH($K44,Base!$B$3:$B$980,0))</f>
        <v>42.273580823913619</v>
      </c>
      <c r="H44" s="28">
        <f>INDEX(Base!$N$3:$N$980,MATCH($K44,Base!$B$3:$B$980,0))</f>
        <v>24.9305555555556</v>
      </c>
      <c r="I44" s="28">
        <f>INDEX(Base!$O$3:$O$980,MATCH($K44,Base!$B$3:$B$980,0))</f>
        <v>24.9305555555556</v>
      </c>
      <c r="J44" s="29"/>
      <c r="K44" s="30" t="s">
        <v>64</v>
      </c>
    </row>
    <row r="45" spans="2:11" ht="14.25" customHeight="1" collapsed="1" x14ac:dyDescent="0.35">
      <c r="B45" s="19" t="s">
        <v>65</v>
      </c>
      <c r="C45" s="19"/>
      <c r="D45" s="20"/>
      <c r="E45" s="21">
        <f>SUMIFS(Base!$K$3:$K$980,Base!$J$3:$J$980,"Ara",Base!$G$3:$G$980,$B45,Base!$K$3:$K$980,"&lt;&gt;#N/A")</f>
        <v>9551</v>
      </c>
      <c r="F45" s="21">
        <f>SUMIFS(Base!$L$3:$L$980,Base!$J$3:$J$980,"Ara",Base!$G$3:$G$980,$B45)</f>
        <v>279.41977561828929</v>
      </c>
      <c r="G45" s="22">
        <f>IFERROR(E45/F45,0)</f>
        <v>34.181546309189876</v>
      </c>
      <c r="H45" s="22"/>
      <c r="I45" s="22">
        <f>IFERROR(SUMIFS(Base!$P$3:$P$980,Base!$J$3:$J$980,"Ara",Base!$G$3:$G$980,$B45)/F45,0)</f>
        <v>16.249837752885195</v>
      </c>
      <c r="J45" s="23">
        <f>1+SUMPRODUCT(($K$6:$K$114="")*($I$6:$I$114&lt;I45))</f>
        <v>6</v>
      </c>
      <c r="K45" s="23"/>
    </row>
    <row r="46" spans="2:11" ht="14.25" hidden="1" customHeight="1" outlineLevel="1" x14ac:dyDescent="0.35">
      <c r="B46" s="24" t="str">
        <f>INDEX(Base!$H$3:$H$980,MATCH($K46,Base!$B$3:$B$980,0))</f>
        <v xml:space="preserve"> COPO REFRIG.PP BK 440ML CX 900 UND </v>
      </c>
      <c r="C46" s="25" t="str">
        <f>IFERROR(IF(INDEX(Base!$I$3:$I$980,MATCH($K46,Base!$B$3:$B$980,0))="","",INDEX(Base!$I$3:$I$980,MATCH($K46,Base!$B$3:$B$980,0))),"sem fornecedor")</f>
        <v>BO PACK</v>
      </c>
      <c r="D46" s="26">
        <f>INDEX(Base!$E$3:$E$980,MATCH($K46,Base!$B$3:$B$980,0))</f>
        <v>201030000119</v>
      </c>
      <c r="E46" s="27">
        <f>IFERROR(INDEX(Base!$K$3:$K$980,MATCH($K46,Base!$B$3:$B$980,0)),"sem estoque")</f>
        <v>1243</v>
      </c>
      <c r="F46" s="27">
        <f>INDEX(Base!$L$3:$L$980,MATCH($K46,Base!$B$3:$B$980,0))</f>
        <v>4.5797150533054696</v>
      </c>
      <c r="G46" s="28">
        <f>INDEX(Base!$M$3:$M$980,MATCH($K46,Base!$B$3:$B$980,0))</f>
        <v>271.41426606942463</v>
      </c>
      <c r="H46" s="28">
        <f>INDEX(Base!$N$3:$N$980,MATCH($K46,Base!$B$3:$B$980,0))</f>
        <v>18.3042973286876</v>
      </c>
      <c r="I46" s="28">
        <f>INDEX(Base!$O$3:$O$980,MATCH($K46,Base!$B$3:$B$980,0))</f>
        <v>18.3042973286876</v>
      </c>
      <c r="J46" s="29"/>
      <c r="K46" s="30" t="s">
        <v>66</v>
      </c>
    </row>
    <row r="47" spans="2:11" ht="14.25" hidden="1" customHeight="1" outlineLevel="1" x14ac:dyDescent="0.35">
      <c r="B47" s="24" t="str">
        <f>INDEX(Base!$H$3:$H$980,MATCH($K47,Base!$B$3:$B$980,0))</f>
        <v>ETIQ LACRE DE SEGURANCA BKC 79,94X39,93MM</v>
      </c>
      <c r="C47" s="25" t="str">
        <f>IFERROR(IF(INDEX(Base!$I$3:$I$980,MATCH($K47,Base!$B$3:$B$980,0))="","",INDEX(Base!$I$3:$I$980,MATCH($K47,Base!$B$3:$B$980,0))),"sem fornecedor")</f>
        <v>ALL4LABELS</v>
      </c>
      <c r="D47" s="26">
        <f>INDEX(Base!$E$3:$E$980,MATCH($K47,Base!$B$3:$B$980,0))</f>
        <v>201030000468</v>
      </c>
      <c r="E47" s="27">
        <f>IFERROR(INDEX(Base!$K$3:$K$980,MATCH($K47,Base!$B$3:$B$980,0)),"sem estoque")</f>
        <v>1099</v>
      </c>
      <c r="F47" s="27">
        <f>INDEX(Base!$L$3:$L$980,MATCH($K47,Base!$B$3:$B$980,0))</f>
        <v>5.7898059444979504</v>
      </c>
      <c r="G47" s="28">
        <f>INDEX(Base!$M$3:$M$980,MATCH($K47,Base!$B$3:$B$980,0))</f>
        <v>189.81637908682919</v>
      </c>
      <c r="H47" s="28">
        <f>INDEX(Base!$N$3:$N$980,MATCH($K47,Base!$B$3:$B$980,0))</f>
        <v>23</v>
      </c>
      <c r="I47" s="28">
        <f>INDEX(Base!$O$3:$O$980,MATCH($K47,Base!$B$3:$B$980,0))</f>
        <v>23</v>
      </c>
      <c r="J47" s="29"/>
      <c r="K47" s="30" t="s">
        <v>67</v>
      </c>
    </row>
    <row r="48" spans="2:11" ht="14.25" hidden="1" customHeight="1" outlineLevel="1" x14ac:dyDescent="0.35">
      <c r="B48" s="24" t="str">
        <f>INDEX(Base!$H$3:$H$980,MATCH($K48,Base!$B$3:$B$980,0))</f>
        <v xml:space="preserve"> SACOLA P/ VIAGEM PCT 500 UN </v>
      </c>
      <c r="C48" s="25" t="str">
        <f>IFERROR(IF(INDEX(Base!$I$3:$I$980,MATCH($K48,Base!$B$3:$B$980,0))="","",INDEX(Base!$I$3:$I$980,MATCH($K48,Base!$B$3:$B$980,0))),"sem fornecedor")</f>
        <v>C. CLARO</v>
      </c>
      <c r="D48" s="26">
        <f>INDEX(Base!$E$3:$E$980,MATCH($K48,Base!$B$3:$B$980,0))</f>
        <v>201030000215</v>
      </c>
      <c r="E48" s="27">
        <f>IFERROR(INDEX(Base!$K$3:$K$980,MATCH($K48,Base!$B$3:$B$980,0)),"sem estoque")</f>
        <v>448</v>
      </c>
      <c r="F48" s="27">
        <f>INDEX(Base!$L$3:$L$980,MATCH($K48,Base!$B$3:$B$980,0))</f>
        <v>21.2570695564517</v>
      </c>
      <c r="G48" s="28">
        <f>INDEX(Base!$M$3:$M$980,MATCH($K48,Base!$B$3:$B$980,0))</f>
        <v>21.075341490992496</v>
      </c>
      <c r="H48" s="28">
        <f>INDEX(Base!$N$3:$N$980,MATCH($K48,Base!$B$3:$B$980,0))</f>
        <v>21.7457142857143</v>
      </c>
      <c r="I48" s="28">
        <f>INDEX(Base!$O$3:$O$980,MATCH($K48,Base!$B$3:$B$980,0))</f>
        <v>21.075341490992496</v>
      </c>
      <c r="J48" s="29"/>
      <c r="K48" s="30" t="s">
        <v>68</v>
      </c>
    </row>
    <row r="49" spans="2:11" ht="14.25" hidden="1" customHeight="1" outlineLevel="1" x14ac:dyDescent="0.35">
      <c r="B49" s="24" t="str">
        <f>INDEX(Base!$H$3:$H$980,MATCH($K49,Base!$B$3:$B$980,0))</f>
        <v xml:space="preserve"> SACO VIAGEM 12 LIBRAS PCT 1000 UN </v>
      </c>
      <c r="C49" s="25" t="str">
        <f>IFERROR(IF(INDEX(Base!$I$3:$I$980,MATCH($K49,Base!$B$3:$B$980,0))="","",INDEX(Base!$I$3:$I$980,MATCH($K49,Base!$B$3:$B$980,0))),"sem fornecedor")</f>
        <v>C. CLARO</v>
      </c>
      <c r="D49" s="26">
        <f>INDEX(Base!$E$3:$E$980,MATCH($K49,Base!$B$3:$B$980,0))</f>
        <v>201030000214</v>
      </c>
      <c r="E49" s="27">
        <f>IFERROR(INDEX(Base!$K$3:$K$980,MATCH($K49,Base!$B$3:$B$980,0)),"sem estoque")</f>
        <v>-4</v>
      </c>
      <c r="F49" s="27">
        <f>INDEX(Base!$L$3:$L$980,MATCH($K49,Base!$B$3:$B$980,0))</f>
        <v>18.0168310483871</v>
      </c>
      <c r="G49" s="28">
        <f>INDEX(Base!$M$3:$M$980,MATCH($K49,Base!$B$3:$B$980,0))</f>
        <v>-0.22201462561631155</v>
      </c>
      <c r="H49" s="28">
        <f>INDEX(Base!$N$3:$N$980,MATCH($K49,Base!$B$3:$B$980,0))</f>
        <v>16.298447671507301</v>
      </c>
      <c r="I49" s="28">
        <f>INDEX(Base!$O$3:$O$980,MATCH($K49,Base!$B$3:$B$980,0))</f>
        <v>-0.22201462561631155</v>
      </c>
      <c r="J49" s="29"/>
      <c r="K49" s="30" t="s">
        <v>69</v>
      </c>
    </row>
    <row r="50" spans="2:11" ht="14.25" hidden="1" customHeight="1" outlineLevel="1" x14ac:dyDescent="0.35">
      <c r="B50" s="24" t="str">
        <f>INDEX(Base!$H$3:$H$980,MATCH($K50,Base!$B$3:$B$980,0))</f>
        <v xml:space="preserve"> CARTONAGEM BATATA MEDIA NOVA BK CX 1600 UND </v>
      </c>
      <c r="C50" s="25" t="str">
        <f>IFERROR(IF(INDEX(Base!$I$3:$I$980,MATCH($K50,Base!$B$3:$B$980,0))="","",INDEX(Base!$I$3:$I$980,MATCH($K50,Base!$B$3:$B$980,0))),"sem fornecedor")</f>
        <v>INNOVAPACK</v>
      </c>
      <c r="D50" s="26">
        <f>INDEX(Base!$E$3:$E$980,MATCH($K50,Base!$B$3:$B$980,0))</f>
        <v>201030000413</v>
      </c>
      <c r="E50" s="27">
        <f>IFERROR(INDEX(Base!$K$3:$K$980,MATCH($K50,Base!$B$3:$B$980,0)),"sem estoque")</f>
        <v>270</v>
      </c>
      <c r="F50" s="27">
        <f>INDEX(Base!$L$3:$L$980,MATCH($K50,Base!$B$3:$B$980,0))</f>
        <v>12.7232179939516</v>
      </c>
      <c r="G50" s="28">
        <f>INDEX(Base!$M$3:$M$980,MATCH($K50,Base!$B$3:$B$980,0))</f>
        <v>21.221046446610707</v>
      </c>
      <c r="H50" s="28">
        <f>INDEX(Base!$N$3:$N$980,MATCH($K50,Base!$B$3:$B$980,0))</f>
        <v>25.995405819295598</v>
      </c>
      <c r="I50" s="28">
        <f>INDEX(Base!$O$3:$O$980,MATCH($K50,Base!$B$3:$B$980,0))</f>
        <v>21.221046446610707</v>
      </c>
      <c r="J50" s="29"/>
      <c r="K50" s="30" t="s">
        <v>70</v>
      </c>
    </row>
    <row r="51" spans="2:11" ht="14.25" hidden="1" customHeight="1" outlineLevel="1" x14ac:dyDescent="0.35">
      <c r="B51" s="24" t="str">
        <f>INDEX(Base!$H$3:$H$980,MATCH($K51,Base!$B$3:$B$980,0))</f>
        <v xml:space="preserve"> GUARDANAPO INTERFOLHADO BK CX 5400 UM </v>
      </c>
      <c r="C51" s="25" t="str">
        <f>IFERROR(IF(INDEX(Base!$I$3:$I$980,MATCH($K51,Base!$B$3:$B$980,0))="","",INDEX(Base!$I$3:$I$980,MATCH($K51,Base!$B$3:$B$980,0))),"sem fornecedor")</f>
        <v>MELHORA 1</v>
      </c>
      <c r="D51" s="26">
        <f>INDEX(Base!$E$3:$E$980,MATCH($K51,Base!$B$3:$B$980,0))</f>
        <v>201030000356</v>
      </c>
      <c r="E51" s="27">
        <f>IFERROR(INDEX(Base!$K$3:$K$980,MATCH($K51,Base!$B$3:$B$980,0)),"sem estoque")</f>
        <v>372</v>
      </c>
      <c r="F51" s="27">
        <f>INDEX(Base!$L$3:$L$980,MATCH($K51,Base!$B$3:$B$980,0))</f>
        <v>11.950867416364501</v>
      </c>
      <c r="G51" s="28">
        <f>INDEX(Base!$M$3:$M$980,MATCH($K51,Base!$B$3:$B$980,0))</f>
        <v>31.127447660461439</v>
      </c>
      <c r="H51" s="28">
        <f>INDEX(Base!$N$3:$N$980,MATCH($K51,Base!$B$3:$B$980,0))</f>
        <v>25.0097902097902</v>
      </c>
      <c r="I51" s="28">
        <f>INDEX(Base!$O$3:$O$980,MATCH($K51,Base!$B$3:$B$980,0))</f>
        <v>25.0097902097902</v>
      </c>
      <c r="J51" s="29"/>
      <c r="K51" s="30" t="s">
        <v>71</v>
      </c>
    </row>
    <row r="52" spans="2:11" ht="14.25" hidden="1" customHeight="1" outlineLevel="1" x14ac:dyDescent="0.35">
      <c r="B52" s="24" t="str">
        <f>INDEX(Base!$H$3:$H$980,MATCH($K52,Base!$B$3:$B$980,0))</f>
        <v xml:space="preserve"> SACO VIAGEM 6 LIBRAS PCT 1000 UN </v>
      </c>
      <c r="C52" s="25" t="str">
        <f>IFERROR(IF(INDEX(Base!$I$3:$I$980,MATCH($K52,Base!$B$3:$B$980,0))="","",INDEX(Base!$I$3:$I$980,MATCH($K52,Base!$B$3:$B$980,0))),"sem fornecedor")</f>
        <v>C. CLARO</v>
      </c>
      <c r="D52" s="26">
        <f>INDEX(Base!$E$3:$E$980,MATCH($K52,Base!$B$3:$B$980,0))</f>
        <v>201030000213</v>
      </c>
      <c r="E52" s="27">
        <f>IFERROR(INDEX(Base!$K$3:$K$980,MATCH($K52,Base!$B$3:$B$980,0)),"sem estoque")</f>
        <v>274</v>
      </c>
      <c r="F52" s="27">
        <f>INDEX(Base!$L$3:$L$980,MATCH($K52,Base!$B$3:$B$980,0))</f>
        <v>16.1562936491936</v>
      </c>
      <c r="G52" s="28">
        <f>INDEX(Base!$M$3:$M$980,MATCH($K52,Base!$B$3:$B$980,0))</f>
        <v>16.959335225605781</v>
      </c>
      <c r="H52" s="28">
        <f>INDEX(Base!$N$3:$N$980,MATCH($K52,Base!$B$3:$B$980,0))</f>
        <v>20.682406209573099</v>
      </c>
      <c r="I52" s="28">
        <f>INDEX(Base!$O$3:$O$980,MATCH($K52,Base!$B$3:$B$980,0))</f>
        <v>16.959335225605781</v>
      </c>
      <c r="J52" s="29"/>
      <c r="K52" s="30" t="s">
        <v>72</v>
      </c>
    </row>
    <row r="53" spans="2:11" ht="14.25" hidden="1" customHeight="1" outlineLevel="1" x14ac:dyDescent="0.35">
      <c r="B53" s="24" t="str">
        <f>INDEX(Base!$H$3:$H$980,MATCH($K53,Base!$B$3:$B$980,0))</f>
        <v xml:space="preserve"> LAMINA WHOPPER BK 2025 FD3000UN </v>
      </c>
      <c r="C53" s="25" t="str">
        <f>IFERROR(IF(INDEX(Base!$I$3:$I$980,MATCH($K53,Base!$B$3:$B$980,0))="","",INDEX(Base!$I$3:$I$980,MATCH($K53,Base!$B$3:$B$980,0))),"sem fornecedor")</f>
        <v>C. CLARO</v>
      </c>
      <c r="D53" s="26">
        <f>INDEX(Base!$E$3:$E$980,MATCH($K53,Base!$B$3:$B$980,0))</f>
        <v>221000000612</v>
      </c>
      <c r="E53" s="27">
        <f>IFERROR(INDEX(Base!$K$3:$K$980,MATCH($K53,Base!$B$3:$B$980,0)),"sem estoque")</f>
        <v>280</v>
      </c>
      <c r="F53" s="27">
        <f>INDEX(Base!$L$3:$L$980,MATCH($K53,Base!$B$3:$B$980,0))</f>
        <v>11.333533241354701</v>
      </c>
      <c r="G53" s="28">
        <f>INDEX(Base!$M$3:$M$980,MATCH($K53,Base!$B$3:$B$980,0))</f>
        <v>24.705446574975724</v>
      </c>
      <c r="H53" s="28">
        <f>INDEX(Base!$N$3:$N$980,MATCH($K53,Base!$B$3:$B$980,0))</f>
        <v>19.4493177387914</v>
      </c>
      <c r="I53" s="28">
        <f>INDEX(Base!$O$3:$O$980,MATCH($K53,Base!$B$3:$B$980,0))</f>
        <v>19.4493177387914</v>
      </c>
      <c r="J53" s="29"/>
      <c r="K53" s="30" t="s">
        <v>73</v>
      </c>
    </row>
    <row r="54" spans="2:11" ht="14.25" hidden="1" customHeight="1" outlineLevel="1" x14ac:dyDescent="0.35">
      <c r="B54" s="24" t="str">
        <f>INDEX(Base!$H$3:$H$980,MATCH($K54,Base!$B$3:$B$980,0))</f>
        <v xml:space="preserve"> LAMINA KING JUNIOR 2025 FD3000UN </v>
      </c>
      <c r="C54" s="25" t="str">
        <f>IFERROR(IF(INDEX(Base!$I$3:$I$980,MATCH($K54,Base!$B$3:$B$980,0))="","",INDEX(Base!$I$3:$I$980,MATCH($K54,Base!$B$3:$B$980,0))),"sem fornecedor")</f>
        <v>C. CLARO</v>
      </c>
      <c r="D54" s="26">
        <f>INDEX(Base!$E$3:$E$980,MATCH($K54,Base!$B$3:$B$980,0))</f>
        <v>221000000617</v>
      </c>
      <c r="E54" s="27">
        <f>IFERROR(INDEX(Base!$K$3:$K$980,MATCH($K54,Base!$B$3:$B$980,0)),"sem estoque")</f>
        <v>176</v>
      </c>
      <c r="F54" s="27">
        <f>INDEX(Base!$L$3:$L$980,MATCH($K54,Base!$B$3:$B$980,0))</f>
        <v>8.2779532175285002</v>
      </c>
      <c r="G54" s="28">
        <f>INDEX(Base!$M$3:$M$980,MATCH($K54,Base!$B$3:$B$980,0))</f>
        <v>21.261294353212989</v>
      </c>
      <c r="H54" s="28">
        <f>INDEX(Base!$N$3:$N$980,MATCH($K54,Base!$B$3:$B$980,0))</f>
        <v>20.705633802816902</v>
      </c>
      <c r="I54" s="28">
        <f>INDEX(Base!$O$3:$O$980,MATCH($K54,Base!$B$3:$B$980,0))</f>
        <v>20.705633802816902</v>
      </c>
      <c r="J54" s="29"/>
      <c r="K54" s="30" t="s">
        <v>74</v>
      </c>
    </row>
    <row r="55" spans="2:11" ht="14.25" hidden="1" customHeight="1" outlineLevel="1" x14ac:dyDescent="0.35">
      <c r="B55" s="24" t="str">
        <f>INDEX(Base!$H$3:$H$980,MATCH($K55,Base!$B$3:$B$980,0))</f>
        <v xml:space="preserve"> POTE PAPEL 900 ML BK CD CX COM 500 UND </v>
      </c>
      <c r="C55" s="25" t="str">
        <f>IFERROR(IF(INDEX(Base!$I$3:$I$980,MATCH($K55,Base!$B$3:$B$980,0))="","",INDEX(Base!$I$3:$I$980,MATCH($K55,Base!$B$3:$B$980,0))),"sem fornecedor")</f>
        <v>BO PACK</v>
      </c>
      <c r="D55" s="26">
        <f>INDEX(Base!$E$3:$E$980,MATCH($K55,Base!$B$3:$B$980,0))</f>
        <v>201030000264</v>
      </c>
      <c r="E55" s="27">
        <f>IFERROR(INDEX(Base!$K$3:$K$980,MATCH($K55,Base!$B$3:$B$980,0)),"sem estoque")</f>
        <v>158</v>
      </c>
      <c r="F55" s="27">
        <f>INDEX(Base!$L$3:$L$980,MATCH($K55,Base!$B$3:$B$980,0))</f>
        <v>8.1963833870967804</v>
      </c>
      <c r="G55" s="28">
        <f>INDEX(Base!$M$3:$M$980,MATCH($K55,Base!$B$3:$B$980,0))</f>
        <v>19.276794720063084</v>
      </c>
      <c r="H55" s="28">
        <f>INDEX(Base!$N$3:$N$980,MATCH($K55,Base!$B$3:$B$980,0))</f>
        <v>15</v>
      </c>
      <c r="I55" s="28">
        <f>INDEX(Base!$O$3:$O$980,MATCH($K55,Base!$B$3:$B$980,0))</f>
        <v>15</v>
      </c>
      <c r="J55" s="29"/>
      <c r="K55" s="30" t="s">
        <v>75</v>
      </c>
    </row>
    <row r="56" spans="2:11" ht="14.25" hidden="1" customHeight="1" outlineLevel="1" x14ac:dyDescent="0.35">
      <c r="B56" s="24" t="str">
        <f>INDEX(Base!$H$3:$H$980,MATCH($K56,Base!$B$3:$B$980,0))</f>
        <v xml:space="preserve"> FUNDO BANDEJA INSTITUCIONAL BURGER KING CX 2000 UND </v>
      </c>
      <c r="C56" s="25" t="str">
        <f>IFERROR(IF(INDEX(Base!$I$3:$I$980,MATCH($K56,Base!$B$3:$B$980,0))="","",INDEX(Base!$I$3:$I$980,MATCH($K56,Base!$B$3:$B$980,0))),"sem fornecedor")</f>
        <v>TRENIER</v>
      </c>
      <c r="D56" s="26">
        <f>INDEX(Base!$E$3:$E$980,MATCH($K56,Base!$B$3:$B$980,0))</f>
        <v>201030000125</v>
      </c>
      <c r="E56" s="27">
        <f>IFERROR(INDEX(Base!$K$3:$K$980,MATCH($K56,Base!$B$3:$B$980,0)),"sem estoque")</f>
        <v>0</v>
      </c>
      <c r="F56" s="27">
        <f>INDEX(Base!$L$3:$L$980,MATCH($K56,Base!$B$3:$B$980,0))</f>
        <v>8.8935356395333702</v>
      </c>
      <c r="G56" s="28">
        <f>INDEX(Base!$M$3:$M$980,MATCH($K56,Base!$B$3:$B$980,0))</f>
        <v>0</v>
      </c>
      <c r="H56" s="28">
        <f>INDEX(Base!$N$3:$N$980,MATCH($K56,Base!$B$3:$B$980,0))</f>
        <v>19.2158836689038</v>
      </c>
      <c r="I56" s="28">
        <f>INDEX(Base!$O$3:$O$980,MATCH($K56,Base!$B$3:$B$980,0))</f>
        <v>0</v>
      </c>
      <c r="J56" s="29"/>
      <c r="K56" s="30" t="s">
        <v>76</v>
      </c>
    </row>
    <row r="57" spans="2:11" ht="14.25" hidden="1" customHeight="1" outlineLevel="1" x14ac:dyDescent="0.35">
      <c r="B57" s="24" t="str">
        <f>INDEX(Base!$H$3:$H$980,MATCH($K57,Base!$B$3:$B$980,0))</f>
        <v xml:space="preserve"> COPO MIX INSTITUCIONAL 290ML BK BO PACK CX 320UN </v>
      </c>
      <c r="C57" s="25" t="str">
        <f>IFERROR(IF(INDEX(Base!$I$3:$I$980,MATCH($K57,Base!$B$3:$B$980,0))="","",INDEX(Base!$I$3:$I$980,MATCH($K57,Base!$B$3:$B$980,0))),"sem fornecedor")</f>
        <v>BO PACK</v>
      </c>
      <c r="D57" s="26">
        <f>INDEX(Base!$E$3:$E$980,MATCH($K57,Base!$B$3:$B$980,0))</f>
        <v>201030000304</v>
      </c>
      <c r="E57" s="27">
        <f>IFERROR(INDEX(Base!$K$3:$K$980,MATCH($K57,Base!$B$3:$B$980,0)),"sem estoque")</f>
        <v>239</v>
      </c>
      <c r="F57" s="27">
        <f>INDEX(Base!$L$3:$L$980,MATCH($K57,Base!$B$3:$B$980,0))</f>
        <v>14.9046731442705</v>
      </c>
      <c r="G57" s="28">
        <f>INDEX(Base!$M$3:$M$980,MATCH($K57,Base!$B$3:$B$980,0))</f>
        <v>16.03523926265192</v>
      </c>
      <c r="H57" s="28">
        <f>INDEX(Base!$N$3:$N$980,MATCH($K57,Base!$B$3:$B$980,0))</f>
        <v>18.835398230088501</v>
      </c>
      <c r="I57" s="28">
        <f>INDEX(Base!$O$3:$O$980,MATCH($K57,Base!$B$3:$B$980,0))</f>
        <v>16.03523926265192</v>
      </c>
      <c r="J57" s="29"/>
      <c r="K57" s="30" t="s">
        <v>77</v>
      </c>
    </row>
    <row r="58" spans="2:11" ht="14.25" hidden="1" customHeight="1" outlineLevel="1" x14ac:dyDescent="0.35">
      <c r="B58" s="24" t="str">
        <f>INDEX(Base!$H$3:$H$980,MATCH($K58,Base!$B$3:$B$980,0))</f>
        <v xml:space="preserve"> CART BATATA MEDIA DLV (NOVA) CX 500UN </v>
      </c>
      <c r="C58" s="25" t="str">
        <f>IFERROR(IF(INDEX(Base!$I$3:$I$980,MATCH($K58,Base!$B$3:$B$980,0))="","",INDEX(Base!$I$3:$I$980,MATCH($K58,Base!$B$3:$B$980,0))),"sem fornecedor")</f>
        <v>INNOVAPACK</v>
      </c>
      <c r="D58" s="26">
        <f>INDEX(Base!$E$3:$E$980,MATCH($K58,Base!$B$3:$B$980,0))</f>
        <v>201030000480</v>
      </c>
      <c r="E58" s="27">
        <f>IFERROR(INDEX(Base!$K$3:$K$980,MATCH($K58,Base!$B$3:$B$980,0)),"sem estoque")</f>
        <v>-11</v>
      </c>
      <c r="F58" s="27">
        <f>INDEX(Base!$L$3:$L$980,MATCH($K58,Base!$B$3:$B$980,0))</f>
        <v>18.824554243548398</v>
      </c>
      <c r="G58" s="28">
        <f>INDEX(Base!$M$3:$M$980,MATCH($K58,Base!$B$3:$B$980,0))</f>
        <v>-0.58434318590943257</v>
      </c>
      <c r="H58" s="28">
        <f>INDEX(Base!$N$3:$N$980,MATCH($K58,Base!$B$3:$B$980,0))</f>
        <v>24.307775965198498</v>
      </c>
      <c r="I58" s="28">
        <f>INDEX(Base!$O$3:$O$980,MATCH($K58,Base!$B$3:$B$980,0))</f>
        <v>-0.58434318590943257</v>
      </c>
      <c r="J58" s="29"/>
      <c r="K58" s="30" t="s">
        <v>78</v>
      </c>
    </row>
    <row r="59" spans="2:11" ht="14.25" hidden="1" customHeight="1" outlineLevel="1" x14ac:dyDescent="0.35">
      <c r="B59" s="24" t="str">
        <f>INDEX(Base!$H$3:$H$980,MATCH($K59,Base!$B$3:$B$980,0))</f>
        <v xml:space="preserve"> LAMINA CHICKEN BK 2025 FD3000UN </v>
      </c>
      <c r="C59" s="25" t="str">
        <f>IFERROR(IF(INDEX(Base!$I$3:$I$980,MATCH($K59,Base!$B$3:$B$980,0))="","",INDEX(Base!$I$3:$I$980,MATCH($K59,Base!$B$3:$B$980,0))),"sem fornecedor")</f>
        <v>C. CLARO</v>
      </c>
      <c r="D59" s="26">
        <f>INDEX(Base!$E$3:$E$980,MATCH($K59,Base!$B$3:$B$980,0))</f>
        <v>221000000615</v>
      </c>
      <c r="E59" s="27">
        <f>IFERROR(INDEX(Base!$K$3:$K$980,MATCH($K59,Base!$B$3:$B$980,0)),"sem estoque")</f>
        <v>499</v>
      </c>
      <c r="F59" s="27">
        <f>INDEX(Base!$L$3:$L$980,MATCH($K59,Base!$B$3:$B$980,0))</f>
        <v>7.2107421970904202</v>
      </c>
      <c r="G59" s="28">
        <f>INDEX(Base!$M$3:$M$980,MATCH($K59,Base!$B$3:$B$980,0))</f>
        <v>69.202307662774246</v>
      </c>
      <c r="H59" s="28">
        <f>INDEX(Base!$N$3:$N$980,MATCH($K59,Base!$B$3:$B$980,0))</f>
        <v>18.653879686137799</v>
      </c>
      <c r="I59" s="28">
        <f>INDEX(Base!$O$3:$O$980,MATCH($K59,Base!$B$3:$B$980,0))</f>
        <v>18.653879686137799</v>
      </c>
      <c r="J59" s="29"/>
      <c r="K59" s="30" t="s">
        <v>79</v>
      </c>
    </row>
    <row r="60" spans="2:11" ht="14.25" hidden="1" customHeight="1" outlineLevel="1" x14ac:dyDescent="0.35">
      <c r="B60" s="24" t="str">
        <f>INDEX(Base!$H$3:$H$980,MATCH($K60,Base!$B$3:$B$980,0))</f>
        <v xml:space="preserve"> COLHER SORVETE PREMIUM BK CX 1000UND </v>
      </c>
      <c r="C60" s="25" t="str">
        <f>IFERROR(IF(INDEX(Base!$I$3:$I$980,MATCH($K60,Base!$B$3:$B$980,0))="","",INDEX(Base!$I$3:$I$980,MATCH($K60,Base!$B$3:$B$980,0))),"sem fornecedor")</f>
        <v>SERT PLAST</v>
      </c>
      <c r="D60" s="26">
        <f>INDEX(Base!$E$3:$E$980,MATCH($K60,Base!$B$3:$B$980,0))</f>
        <v>201030000111</v>
      </c>
      <c r="E60" s="27">
        <f>IFERROR(INDEX(Base!$K$3:$K$980,MATCH($K60,Base!$B$3:$B$980,0)),"sem estoque")</f>
        <v>190</v>
      </c>
      <c r="F60" s="27">
        <f>INDEX(Base!$L$3:$L$980,MATCH($K60,Base!$B$3:$B$980,0))</f>
        <v>8.8868548387096808</v>
      </c>
      <c r="G60" s="28">
        <f>INDEX(Base!$M$3:$M$980,MATCH($K60,Base!$B$3:$B$980,0))</f>
        <v>21.379892374565543</v>
      </c>
      <c r="H60" s="28">
        <f>INDEX(Base!$N$3:$N$980,MATCH($K60,Base!$B$3:$B$980,0))</f>
        <v>18.361221779548501</v>
      </c>
      <c r="I60" s="28">
        <f>INDEX(Base!$O$3:$O$980,MATCH($K60,Base!$B$3:$B$980,0))</f>
        <v>18.361221779548501</v>
      </c>
      <c r="J60" s="29"/>
      <c r="K60" s="30" t="s">
        <v>80</v>
      </c>
    </row>
    <row r="61" spans="2:11" ht="14.25" hidden="1" customHeight="1" outlineLevel="1" x14ac:dyDescent="0.35">
      <c r="B61" s="24" t="str">
        <f>INDEX(Base!$H$3:$H$980,MATCH($K61,Base!$B$3:$B$980,0))</f>
        <v xml:space="preserve"> SACO BK CHICKEN C.C PCT 1000UNDS </v>
      </c>
      <c r="C61" s="25" t="str">
        <f>IFERROR(IF(INDEX(Base!$I$3:$I$980,MATCH($K61,Base!$B$3:$B$980,0))="","",INDEX(Base!$I$3:$I$980,MATCH($K61,Base!$B$3:$B$980,0))),"sem fornecedor")</f>
        <v>TRENIER</v>
      </c>
      <c r="D61" s="26">
        <f>INDEX(Base!$E$3:$E$980,MATCH($K61,Base!$B$3:$B$980,0))</f>
        <v>201030000149</v>
      </c>
      <c r="E61" s="27">
        <f>IFERROR(INDEX(Base!$K$3:$K$980,MATCH($K61,Base!$B$3:$B$980,0)),"sem estoque")</f>
        <v>334</v>
      </c>
      <c r="F61" s="27">
        <f>INDEX(Base!$L$3:$L$980,MATCH($K61,Base!$B$3:$B$980,0))</f>
        <v>5.2910594207054702</v>
      </c>
      <c r="G61" s="28">
        <f>INDEX(Base!$M$3:$M$980,MATCH($K61,Base!$B$3:$B$980,0))</f>
        <v>63.125354195222201</v>
      </c>
      <c r="H61" s="28">
        <f>INDEX(Base!$N$3:$N$980,MATCH($K61,Base!$B$3:$B$980,0))</f>
        <v>34.841906202723202</v>
      </c>
      <c r="I61" s="28">
        <f>INDEX(Base!$O$3:$O$980,MATCH($K61,Base!$B$3:$B$980,0))</f>
        <v>34.841906202723202</v>
      </c>
      <c r="J61" s="29"/>
      <c r="K61" s="30" t="s">
        <v>81</v>
      </c>
    </row>
    <row r="62" spans="2:11" ht="14.25" hidden="1" customHeight="1" outlineLevel="1" x14ac:dyDescent="0.35">
      <c r="B62" s="24" t="str">
        <f>INDEX(Base!$H$3:$H$980,MATCH($K62,Base!$B$3:$B$980,0))</f>
        <v xml:space="preserve">TAMPA BK MIX DLV 1000UND </v>
      </c>
      <c r="C62" s="25" t="str">
        <f>IFERROR(IF(INDEX(Base!$I$3:$I$980,MATCH($K62,Base!$B$3:$B$980,0))="","",INDEX(Base!$I$3:$I$980,MATCH($K62,Base!$B$3:$B$980,0))),"sem fornecedor")</f>
        <v>BO PACK</v>
      </c>
      <c r="D62" s="26">
        <f>INDEX(Base!$E$3:$E$980,MATCH($K62,Base!$B$3:$B$980,0))</f>
        <v>221000000404</v>
      </c>
      <c r="E62" s="27">
        <f>IFERROR(INDEX(Base!$K$3:$K$980,MATCH($K62,Base!$B$3:$B$980,0)),"sem estoque")</f>
        <v>51</v>
      </c>
      <c r="F62" s="27">
        <f>INDEX(Base!$L$3:$L$980,MATCH($K62,Base!$B$3:$B$980,0))</f>
        <v>1.0661005140923501</v>
      </c>
      <c r="G62" s="28">
        <f>INDEX(Base!$M$3:$M$980,MATCH($K62,Base!$B$3:$B$980,0))</f>
        <v>47.837890823474609</v>
      </c>
      <c r="H62" s="28">
        <f>INDEX(Base!$N$3:$N$980,MATCH($K62,Base!$B$3:$B$980,0))</f>
        <v>15</v>
      </c>
      <c r="I62" s="28">
        <f>INDEX(Base!$O$3:$O$980,MATCH($K62,Base!$B$3:$B$980,0))</f>
        <v>15</v>
      </c>
      <c r="J62" s="29"/>
      <c r="K62" s="30" t="s">
        <v>82</v>
      </c>
    </row>
    <row r="63" spans="2:11" ht="14.25" hidden="1" customHeight="1" outlineLevel="1" x14ac:dyDescent="0.35">
      <c r="B63" s="24" t="str">
        <f>INDEX(Base!$H$3:$H$980,MATCH($K63,Base!$B$3:$B$980,0))</f>
        <v xml:space="preserve"> CARTONAGEM BATATA GRANDE BK INNOVAPACK CX 1600 UND </v>
      </c>
      <c r="C63" s="25" t="str">
        <f>IFERROR(IF(INDEX(Base!$I$3:$I$980,MATCH($K63,Base!$B$3:$B$980,0))="","",INDEX(Base!$I$3:$I$980,MATCH($K63,Base!$B$3:$B$980,0))),"sem fornecedor")</f>
        <v>INNOVAPACK</v>
      </c>
      <c r="D63" s="26">
        <f>INDEX(Base!$E$3:$E$980,MATCH($K63,Base!$B$3:$B$980,0))</f>
        <v>201030000104</v>
      </c>
      <c r="E63" s="27">
        <f>IFERROR(INDEX(Base!$K$3:$K$980,MATCH($K63,Base!$B$3:$B$980,0)),"sem estoque")</f>
        <v>171</v>
      </c>
      <c r="F63" s="27">
        <f>INDEX(Base!$L$3:$L$980,MATCH($K63,Base!$B$3:$B$980,0))</f>
        <v>5.3970747983871101</v>
      </c>
      <c r="G63" s="28">
        <f>INDEX(Base!$M$3:$M$980,MATCH($K63,Base!$B$3:$B$980,0))</f>
        <v>31.683829924147528</v>
      </c>
      <c r="H63" s="28">
        <f>INDEX(Base!$N$3:$N$980,MATCH($K63,Base!$B$3:$B$980,0))</f>
        <v>25.781750924784198</v>
      </c>
      <c r="I63" s="28">
        <f>INDEX(Base!$O$3:$O$980,MATCH($K63,Base!$B$3:$B$980,0))</f>
        <v>25.781750924784198</v>
      </c>
      <c r="J63" s="29"/>
      <c r="K63" s="30" t="s">
        <v>83</v>
      </c>
    </row>
    <row r="64" spans="2:11" ht="14.25" hidden="1" customHeight="1" outlineLevel="1" x14ac:dyDescent="0.35">
      <c r="B64" s="24" t="str">
        <f>INDEX(Base!$H$3:$H$980,MATCH($K64,Base!$B$3:$B$980,0))</f>
        <v xml:space="preserve"> CAIXA THE KINGS BK CX 375 UND 2026 </v>
      </c>
      <c r="C64" s="25" t="str">
        <f>IFERROR(IF(INDEX(Base!$I$3:$I$980,MATCH($K64,Base!$B$3:$B$980,0))="","",INDEX(Base!$I$3:$I$980,MATCH($K64,Base!$B$3:$B$980,0))),"sem fornecedor")</f>
        <v>INNOVAPACK</v>
      </c>
      <c r="D64" s="26">
        <f>INDEX(Base!$E$3:$E$980,MATCH($K64,Base!$B$3:$B$980,0))</f>
        <v>221000000395</v>
      </c>
      <c r="E64" s="27">
        <f>IFERROR(INDEX(Base!$K$3:$K$980,MATCH($K64,Base!$B$3:$B$980,0)),"sem estoque")</f>
        <v>70</v>
      </c>
      <c r="F64" s="27">
        <f>INDEX(Base!$L$3:$L$980,MATCH($K64,Base!$B$3:$B$980,0))</f>
        <v>5.7414855808448904</v>
      </c>
      <c r="G64" s="28">
        <f>INDEX(Base!$M$3:$M$980,MATCH($K64,Base!$B$3:$B$980,0))</f>
        <v>12.191966524054063</v>
      </c>
      <c r="H64" s="28">
        <f>INDEX(Base!$N$3:$N$980,MATCH($K64,Base!$B$3:$B$980,0))</f>
        <v>10</v>
      </c>
      <c r="I64" s="28">
        <f>INDEX(Base!$O$3:$O$980,MATCH($K64,Base!$B$3:$B$980,0))</f>
        <v>10</v>
      </c>
      <c r="J64" s="29"/>
      <c r="K64" s="30" t="s">
        <v>84</v>
      </c>
    </row>
    <row r="65" spans="2:11" ht="14.25" hidden="1" customHeight="1" outlineLevel="1" x14ac:dyDescent="0.35">
      <c r="B65" s="24" t="str">
        <f>INDEX(Base!$H$3:$H$980,MATCH($K65,Base!$B$3:$B$980,0))</f>
        <v xml:space="preserve"> TAMPA REFRIGERANTE 440ML NAC BK CX 1800UND </v>
      </c>
      <c r="C65" s="25" t="str">
        <f>IFERROR(IF(INDEX(Base!$I$3:$I$980,MATCH($K65,Base!$B$3:$B$980,0))="","",INDEX(Base!$I$3:$I$980,MATCH($K65,Base!$B$3:$B$980,0))),"sem fornecedor")</f>
        <v>BO PACK</v>
      </c>
      <c r="D65" s="26">
        <f>INDEX(Base!$E$3:$E$980,MATCH($K65,Base!$B$3:$B$980,0))</f>
        <v>201030000175</v>
      </c>
      <c r="E65" s="27">
        <f>IFERROR(INDEX(Base!$K$3:$K$980,MATCH($K65,Base!$B$3:$B$980,0)),"sem estoque")</f>
        <v>62</v>
      </c>
      <c r="F65" s="27">
        <f>INDEX(Base!$L$3:$L$980,MATCH($K65,Base!$B$3:$B$980,0))</f>
        <v>0.91567545290020802</v>
      </c>
      <c r="G65" s="28">
        <f>INDEX(Base!$M$3:$M$980,MATCH($K65,Base!$B$3:$B$980,0))</f>
        <v>67.709579637226412</v>
      </c>
      <c r="H65" s="28">
        <f>INDEX(Base!$N$3:$N$980,MATCH($K65,Base!$B$3:$B$980,0))</f>
        <v>20.017482517482499</v>
      </c>
      <c r="I65" s="28">
        <f>INDEX(Base!$O$3:$O$980,MATCH($K65,Base!$B$3:$B$980,0))</f>
        <v>20.017482517482499</v>
      </c>
      <c r="J65" s="29"/>
      <c r="K65" s="30" t="s">
        <v>85</v>
      </c>
    </row>
    <row r="66" spans="2:11" ht="14.25" hidden="1" customHeight="1" outlineLevel="1" x14ac:dyDescent="0.35">
      <c r="B66" s="24" t="str">
        <f>INDEX(Base!$H$3:$H$980,MATCH($K66,Base!$B$3:$B$980,0))</f>
        <v xml:space="preserve"> LAMINA BIG KING BKC FD3000UN </v>
      </c>
      <c r="C66" s="25" t="str">
        <f>IFERROR(IF(INDEX(Base!$I$3:$I$980,MATCH($K66,Base!$B$3:$B$980,0))="","",INDEX(Base!$I$3:$I$980,MATCH($K66,Base!$B$3:$B$980,0))),"sem fornecedor")</f>
        <v>C. CLARO</v>
      </c>
      <c r="D66" s="26">
        <f>INDEX(Base!$E$3:$E$980,MATCH($K66,Base!$B$3:$B$980,0))</f>
        <v>201030000379</v>
      </c>
      <c r="E66" s="27">
        <f>IFERROR(INDEX(Base!$K$3:$K$980,MATCH($K66,Base!$B$3:$B$980,0)),"sem estoque")</f>
        <v>56</v>
      </c>
      <c r="F66" s="27">
        <f>INDEX(Base!$L$3:$L$980,MATCH($K66,Base!$B$3:$B$980,0))</f>
        <v>6.9150326700641003</v>
      </c>
      <c r="G66" s="28">
        <f>INDEX(Base!$M$3:$M$980,MATCH($K66,Base!$B$3:$B$980,0))</f>
        <v>8.09829868807849</v>
      </c>
      <c r="H66" s="28">
        <f>INDEX(Base!$N$3:$N$980,MATCH($K66,Base!$B$3:$B$980,0))</f>
        <v>34.691213389121302</v>
      </c>
      <c r="I66" s="28">
        <f>INDEX(Base!$O$3:$O$980,MATCH($K66,Base!$B$3:$B$980,0))</f>
        <v>8.09829868807849</v>
      </c>
      <c r="J66" s="29"/>
      <c r="K66" s="30" t="s">
        <v>86</v>
      </c>
    </row>
    <row r="67" spans="2:11" ht="14.25" hidden="1" customHeight="1" outlineLevel="1" x14ac:dyDescent="0.35">
      <c r="B67" s="24" t="str">
        <f>INDEX(Base!$H$3:$H$980,MATCH($K67,Base!$B$3:$B$980,0))</f>
        <v xml:space="preserve"> COPO 550 ML BK DRIVE FSC MIX CREDIT CX COM 1200 UND </v>
      </c>
      <c r="C67" s="25" t="str">
        <f>IFERROR(IF(INDEX(Base!$I$3:$I$980,MATCH($K67,Base!$B$3:$B$980,0))="","",INDEX(Base!$I$3:$I$980,MATCH($K67,Base!$B$3:$B$980,0))),"sem fornecedor")</f>
        <v>BO PACK</v>
      </c>
      <c r="D67" s="26">
        <f>INDEX(Base!$E$3:$E$980,MATCH($K67,Base!$B$3:$B$980,0))</f>
        <v>201030000501</v>
      </c>
      <c r="E67" s="27">
        <f>IFERROR(INDEX(Base!$K$3:$K$980,MATCH($K67,Base!$B$3:$B$980,0)),"sem estoque")</f>
        <v>356</v>
      </c>
      <c r="F67" s="27">
        <f>INDEX(Base!$L$3:$L$980,MATCH($K67,Base!$B$3:$B$980,0))</f>
        <v>6.2459187766632999E-2</v>
      </c>
      <c r="G67" s="28">
        <f>INDEX(Base!$M$3:$M$980,MATCH($K67,Base!$B$3:$B$980,0))</f>
        <v>5699.7218940810917</v>
      </c>
      <c r="H67" s="28">
        <f>INDEX(Base!$N$3:$N$980,MATCH($K67,Base!$B$3:$B$980,0))</f>
        <v>19.637404580152701</v>
      </c>
      <c r="I67" s="28">
        <f>INDEX(Base!$O$3:$O$980,MATCH($K67,Base!$B$3:$B$980,0))</f>
        <v>19.637404580152701</v>
      </c>
      <c r="J67" s="29"/>
      <c r="K67" s="30" t="s">
        <v>87</v>
      </c>
    </row>
    <row r="68" spans="2:11" ht="14.25" hidden="1" customHeight="1" outlineLevel="1" x14ac:dyDescent="0.35">
      <c r="B68" s="24" t="str">
        <f>INDEX(Base!$H$3:$H$980,MATCH($K68,Base!$B$3:$B$980,0))</f>
        <v xml:space="preserve"> TAMPA SHAKE BK 440 ML CX COM 900 UND </v>
      </c>
      <c r="C68" s="25" t="str">
        <f>IFERROR(IF(INDEX(Base!$I$3:$I$980,MATCH($K68,Base!$B$3:$B$980,0))="","",INDEX(Base!$I$3:$I$980,MATCH($K68,Base!$B$3:$B$980,0))),"sem fornecedor")</f>
        <v>ALTACOPPO</v>
      </c>
      <c r="D68" s="26">
        <f>INDEX(Base!$E$3:$E$980,MATCH($K68,Base!$B$3:$B$980,0))</f>
        <v>201030000166</v>
      </c>
      <c r="E68" s="27">
        <f>IFERROR(INDEX(Base!$K$3:$K$980,MATCH($K68,Base!$B$3:$B$980,0)),"sem estoque")</f>
        <v>163</v>
      </c>
      <c r="F68" s="27">
        <f>INDEX(Base!$L$3:$L$980,MATCH($K68,Base!$B$3:$B$980,0))</f>
        <v>4.1450588705532398</v>
      </c>
      <c r="G68" s="28">
        <f>INDEX(Base!$M$3:$M$980,MATCH($K68,Base!$B$3:$B$980,0))</f>
        <v>39.323928824741742</v>
      </c>
      <c r="H68" s="28">
        <f>INDEX(Base!$N$3:$N$980,MATCH($K68,Base!$B$3:$B$980,0))</f>
        <v>32.125698324022302</v>
      </c>
      <c r="I68" s="28">
        <f>INDEX(Base!$O$3:$O$980,MATCH($K68,Base!$B$3:$B$980,0))</f>
        <v>32.125698324022302</v>
      </c>
      <c r="J68" s="29"/>
      <c r="K68" s="30" t="s">
        <v>88</v>
      </c>
    </row>
    <row r="69" spans="2:11" ht="14.25" hidden="1" customHeight="1" outlineLevel="1" x14ac:dyDescent="0.35">
      <c r="B69" s="24" t="str">
        <f>INDEX(Base!$H$3:$H$980,MATCH($K69,Base!$B$3:$B$980,0))</f>
        <v xml:space="preserve"> SACO BK DELIVERY PCT 100 UND </v>
      </c>
      <c r="C69" s="25" t="str">
        <f>IFERROR(IF(INDEX(Base!$I$3:$I$980,MATCH($K69,Base!$B$3:$B$980,0))="","",INDEX(Base!$I$3:$I$980,MATCH($K69,Base!$B$3:$B$980,0))),"sem fornecedor")</f>
        <v>C. CLARO</v>
      </c>
      <c r="D69" s="26">
        <f>INDEX(Base!$E$3:$E$980,MATCH($K69,Base!$B$3:$B$980,0))</f>
        <v>201030000500</v>
      </c>
      <c r="E69" s="27">
        <f>IFERROR(INDEX(Base!$K$3:$K$980,MATCH($K69,Base!$B$3:$B$980,0)),"sem estoque")</f>
        <v>219</v>
      </c>
      <c r="F69" s="27">
        <f>INDEX(Base!$L$3:$L$980,MATCH($K69,Base!$B$3:$B$980,0))</f>
        <v>4.6322308467741999</v>
      </c>
      <c r="G69" s="28">
        <f>INDEX(Base!$M$3:$M$980,MATCH($K69,Base!$B$3:$B$980,0))</f>
        <v>47.277436562236005</v>
      </c>
      <c r="H69" s="28">
        <f>INDEX(Base!$N$3:$N$980,MATCH($K69,Base!$B$3:$B$980,0))</f>
        <v>20.948717948717999</v>
      </c>
      <c r="I69" s="28">
        <f>INDEX(Base!$O$3:$O$980,MATCH($K69,Base!$B$3:$B$980,0))</f>
        <v>20.948717948717999</v>
      </c>
      <c r="J69" s="29"/>
      <c r="K69" s="30" t="s">
        <v>89</v>
      </c>
    </row>
    <row r="70" spans="2:11" ht="14.25" hidden="1" customHeight="1" outlineLevel="1" x14ac:dyDescent="0.35">
      <c r="B70" s="24" t="str">
        <f>INDEX(Base!$H$3:$H$980,MATCH($K70,Base!$B$3:$B$980,0))</f>
        <v xml:space="preserve"> COPO CORTESIA ALTA COPPO 200ML CX 2500UND </v>
      </c>
      <c r="C70" s="25" t="str">
        <f>IFERROR(IF(INDEX(Base!$I$3:$I$980,MATCH($K70,Base!$B$3:$B$980,0))="","",INDEX(Base!$I$3:$I$980,MATCH($K70,Base!$B$3:$B$980,0))),"sem fornecedor")</f>
        <v>ALTACOPPO</v>
      </c>
      <c r="D70" s="26">
        <f>INDEX(Base!$E$3:$E$980,MATCH($K70,Base!$B$3:$B$980,0))</f>
        <v>201030000412</v>
      </c>
      <c r="E70" s="27">
        <f>IFERROR(INDEX(Base!$K$3:$K$980,MATCH($K70,Base!$B$3:$B$980,0)),"sem estoque")</f>
        <v>245</v>
      </c>
      <c r="F70" s="27">
        <f>INDEX(Base!$L$3:$L$980,MATCH($K70,Base!$B$3:$B$980,0))</f>
        <v>5.3521167741935303</v>
      </c>
      <c r="G70" s="28">
        <f>INDEX(Base!$M$3:$M$980,MATCH($K70,Base!$B$3:$B$980,0))</f>
        <v>45.776280738365834</v>
      </c>
      <c r="H70" s="28">
        <f>INDEX(Base!$N$3:$N$980,MATCH($K70,Base!$B$3:$B$980,0))</f>
        <v>33.282539682539699</v>
      </c>
      <c r="I70" s="28">
        <f>INDEX(Base!$O$3:$O$980,MATCH($K70,Base!$B$3:$B$980,0))</f>
        <v>33.282539682539699</v>
      </c>
      <c r="J70" s="29"/>
      <c r="K70" s="30" t="s">
        <v>90</v>
      </c>
    </row>
    <row r="71" spans="2:11" ht="14.25" hidden="1" customHeight="1" outlineLevel="1" x14ac:dyDescent="0.35">
      <c r="B71" s="24" t="str">
        <f>INDEX(Base!$H$3:$H$980,MATCH($K71,Base!$B$3:$B$980,0))</f>
        <v xml:space="preserve"> CANUDO PAPEL MILK SHAKE 2024 CX 1000 UN </v>
      </c>
      <c r="C71" s="25" t="str">
        <f>IFERROR(IF(INDEX(Base!$I$3:$I$980,MATCH($K71,Base!$B$3:$B$980,0))="","",INDEX(Base!$I$3:$I$980,MATCH($K71,Base!$B$3:$B$980,0))),"sem fornecedor")</f>
        <v>PLASTIFAMA</v>
      </c>
      <c r="D71" s="26">
        <f>INDEX(Base!$E$3:$E$980,MATCH($K71,Base!$B$3:$B$980,0))</f>
        <v>201030000482</v>
      </c>
      <c r="E71" s="27">
        <f>IFERROR(INDEX(Base!$K$3:$K$980,MATCH($K71,Base!$B$3:$B$980,0)),"sem estoque")</f>
        <v>122</v>
      </c>
      <c r="F71" s="27">
        <f>INDEX(Base!$L$3:$L$980,MATCH($K71,Base!$B$3:$B$980,0))</f>
        <v>4.7240411806451599</v>
      </c>
      <c r="G71" s="28">
        <f>INDEX(Base!$M$3:$M$980,MATCH($K71,Base!$B$3:$B$980,0))</f>
        <v>25.825346421586129</v>
      </c>
      <c r="H71" s="28">
        <f>INDEX(Base!$N$3:$N$980,MATCH($K71,Base!$B$3:$B$980,0))</f>
        <v>27.422413793103399</v>
      </c>
      <c r="I71" s="28">
        <f>INDEX(Base!$O$3:$O$980,MATCH($K71,Base!$B$3:$B$980,0))</f>
        <v>25.825346421586129</v>
      </c>
      <c r="J71" s="29"/>
      <c r="K71" s="30" t="s">
        <v>91</v>
      </c>
    </row>
    <row r="72" spans="2:11" ht="14.25" hidden="1" customHeight="1" outlineLevel="1" x14ac:dyDescent="0.35">
      <c r="B72" s="24" t="str">
        <f>INDEX(Base!$H$3:$H$980,MATCH($K72,Base!$B$3:$B$980,0))</f>
        <v xml:space="preserve"> PORTA COPOS P/ 2 COPOS BK 550 ML CX C/ 370 UND </v>
      </c>
      <c r="C72" s="25" t="str">
        <f>IFERROR(IF(INDEX(Base!$I$3:$I$980,MATCH($K72,Base!$B$3:$B$980,0))="","",INDEX(Base!$I$3:$I$980,MATCH($K72,Base!$B$3:$B$980,0))),"sem fornecedor")</f>
        <v>INNOVAPACK</v>
      </c>
      <c r="D72" s="26">
        <f>INDEX(Base!$E$3:$E$980,MATCH($K72,Base!$B$3:$B$980,0))</f>
        <v>201030000411</v>
      </c>
      <c r="E72" s="27">
        <f>IFERROR(INDEX(Base!$K$3:$K$980,MATCH($K72,Base!$B$3:$B$980,0)),"sem estoque")</f>
        <v>687</v>
      </c>
      <c r="F72" s="27">
        <f>INDEX(Base!$L$3:$L$980,MATCH($K72,Base!$B$3:$B$980,0))</f>
        <v>2.30290024125713</v>
      </c>
      <c r="G72" s="28">
        <f>INDEX(Base!$M$3:$M$980,MATCH($K72,Base!$B$3:$B$980,0))</f>
        <v>298.31947893017445</v>
      </c>
      <c r="H72" s="28">
        <f>INDEX(Base!$N$3:$N$980,MATCH($K72,Base!$B$3:$B$980,0))</f>
        <v>19</v>
      </c>
      <c r="I72" s="28">
        <f>INDEX(Base!$O$3:$O$980,MATCH($K72,Base!$B$3:$B$980,0))</f>
        <v>19</v>
      </c>
      <c r="J72" s="29"/>
      <c r="K72" s="30" t="s">
        <v>92</v>
      </c>
    </row>
    <row r="73" spans="2:11" ht="14.25" hidden="1" customHeight="1" outlineLevel="1" x14ac:dyDescent="0.35">
      <c r="B73" s="24" t="str">
        <f>INDEX(Base!$H$3:$H$980,MATCH($K73,Base!$B$3:$B$980,0))</f>
        <v xml:space="preserve"> COROA BURGUER KING CX 500 UND </v>
      </c>
      <c r="C73" s="25" t="str">
        <f>IFERROR(IF(INDEX(Base!$I$3:$I$980,MATCH($K73,Base!$B$3:$B$980,0))="","",INDEX(Base!$I$3:$I$980,MATCH($K73,Base!$B$3:$B$980,0))),"sem fornecedor")</f>
        <v>BRASILGRAF</v>
      </c>
      <c r="D73" s="26">
        <f>INDEX(Base!$E$3:$E$980,MATCH($K73,Base!$B$3:$B$980,0))</f>
        <v>201030000272</v>
      </c>
      <c r="E73" s="27">
        <f>IFERROR(INDEX(Base!$K$3:$K$980,MATCH($K73,Base!$B$3:$B$980,0)),"sem estoque")</f>
        <v>139</v>
      </c>
      <c r="F73" s="27">
        <f>INDEX(Base!$L$3:$L$980,MATCH($K73,Base!$B$3:$B$980,0))</f>
        <v>5.3726248520284399</v>
      </c>
      <c r="G73" s="28">
        <f>INDEX(Base!$M$3:$M$980,MATCH($K73,Base!$B$3:$B$980,0))</f>
        <v>25.871897597227623</v>
      </c>
      <c r="H73" s="28">
        <f>INDEX(Base!$N$3:$N$980,MATCH($K73,Base!$B$3:$B$980,0))</f>
        <v>32</v>
      </c>
      <c r="I73" s="28">
        <f>INDEX(Base!$O$3:$O$980,MATCH($K73,Base!$B$3:$B$980,0))</f>
        <v>25.871897597227623</v>
      </c>
      <c r="J73" s="29"/>
      <c r="K73" s="30" t="s">
        <v>93</v>
      </c>
    </row>
    <row r="74" spans="2:11" ht="14.25" hidden="1" customHeight="1" outlineLevel="1" x14ac:dyDescent="0.35">
      <c r="B74" s="24" t="str">
        <f>INDEX(Base!$H$3:$H$980,MATCH($K74,Base!$B$3:$B$980,0))</f>
        <v xml:space="preserve"> CANUDO PAPEL REFRIGERANTE BK CX 3000UND </v>
      </c>
      <c r="C74" s="25" t="str">
        <f>IFERROR(IF(INDEX(Base!$I$3:$I$980,MATCH($K74,Base!$B$3:$B$980,0))="","",INDEX(Base!$I$3:$I$980,MATCH($K74,Base!$B$3:$B$980,0))),"sem fornecedor")</f>
        <v>PLASTIFAMA</v>
      </c>
      <c r="D74" s="26">
        <f>INDEX(Base!$E$3:$E$980,MATCH($K74,Base!$B$3:$B$980,0))</f>
        <v>201030000361</v>
      </c>
      <c r="E74" s="27">
        <f>IFERROR(INDEX(Base!$K$3:$K$980,MATCH($K74,Base!$B$3:$B$980,0)),"sem estoque")</f>
        <v>85</v>
      </c>
      <c r="F74" s="27">
        <f>INDEX(Base!$L$3:$L$980,MATCH($K74,Base!$B$3:$B$980,0))</f>
        <v>5.6823833814144002</v>
      </c>
      <c r="G74" s="28">
        <f>INDEX(Base!$M$3:$M$980,MATCH($K74,Base!$B$3:$B$980,0))</f>
        <v>14.958512000090124</v>
      </c>
      <c r="H74" s="28">
        <f>INDEX(Base!$N$3:$N$980,MATCH($K74,Base!$B$3:$B$980,0))</f>
        <v>25.234716157205199</v>
      </c>
      <c r="I74" s="28">
        <f>INDEX(Base!$O$3:$O$980,MATCH($K74,Base!$B$3:$B$980,0))</f>
        <v>14.958512000090124</v>
      </c>
      <c r="J74" s="29"/>
      <c r="K74" s="30" t="s">
        <v>94</v>
      </c>
    </row>
    <row r="75" spans="2:11" ht="14.25" hidden="1" customHeight="1" outlineLevel="1" x14ac:dyDescent="0.35">
      <c r="B75" s="24" t="str">
        <f>INDEX(Base!$H$3:$H$980,MATCH($K75,Base!$B$3:$B$980,0))</f>
        <v xml:space="preserve"> GUARDANAPO EMBALADO BK 20X30 CX 2400 UND </v>
      </c>
      <c r="C75" s="25" t="str">
        <f>IFERROR(IF(INDEX(Base!$I$3:$I$980,MATCH($K75,Base!$B$3:$B$980,0))="","",INDEX(Base!$I$3:$I$980,MATCH($K75,Base!$B$3:$B$980,0))),"sem fornecedor")</f>
        <v>TRENIER</v>
      </c>
      <c r="D75" s="26">
        <f>INDEX(Base!$E$3:$E$980,MATCH($K75,Base!$B$3:$B$980,0))</f>
        <v>201030000128</v>
      </c>
      <c r="E75" s="27">
        <f>IFERROR(INDEX(Base!$K$3:$K$980,MATCH($K75,Base!$B$3:$B$980,0)),"sem estoque")</f>
        <v>469</v>
      </c>
      <c r="F75" s="27">
        <f>INDEX(Base!$L$3:$L$980,MATCH($K75,Base!$B$3:$B$980,0))</f>
        <v>16.552977635485899</v>
      </c>
      <c r="G75" s="28">
        <f>INDEX(Base!$M$3:$M$980,MATCH($K75,Base!$B$3:$B$980,0))</f>
        <v>28.333270927314516</v>
      </c>
      <c r="H75" s="28">
        <f>INDEX(Base!$N$3:$N$980,MATCH($K75,Base!$B$3:$B$980,0))</f>
        <v>11.3071428571429</v>
      </c>
      <c r="I75" s="28">
        <f>INDEX(Base!$O$3:$O$980,MATCH($K75,Base!$B$3:$B$980,0))</f>
        <v>11.3071428571429</v>
      </c>
      <c r="J75" s="29"/>
      <c r="K75" s="30" t="s">
        <v>95</v>
      </c>
    </row>
    <row r="76" spans="2:11" ht="14.25" hidden="1" customHeight="1" outlineLevel="1" x14ac:dyDescent="0.35">
      <c r="B76" s="24" t="str">
        <f>INDEX(Base!$H$3:$H$980,MATCH($K76,Base!$B$3:$B$980,0))</f>
        <v xml:space="preserve"> GUARDANAPO SORVETE BK 20 X 20 CX 5000 UND </v>
      </c>
      <c r="C76" s="25" t="str">
        <f>IFERROR(IF(INDEX(Base!$I$3:$I$980,MATCH($K76,Base!$B$3:$B$980,0))="","",INDEX(Base!$I$3:$I$980,MATCH($K76,Base!$B$3:$B$980,0))),"sem fornecedor")</f>
        <v>TRENIER</v>
      </c>
      <c r="D76" s="26">
        <f>INDEX(Base!$E$3:$E$980,MATCH($K76,Base!$B$3:$B$980,0))</f>
        <v>201030000129</v>
      </c>
      <c r="E76" s="27">
        <f>IFERROR(INDEX(Base!$K$3:$K$980,MATCH($K76,Base!$B$3:$B$980,0)),"sem estoque")</f>
        <v>204</v>
      </c>
      <c r="F76" s="27">
        <f>INDEX(Base!$L$3:$L$980,MATCH($K76,Base!$B$3:$B$980,0))</f>
        <v>4.0217785220544799</v>
      </c>
      <c r="G76" s="28">
        <f>INDEX(Base!$M$3:$M$980,MATCH($K76,Base!$B$3:$B$980,0))</f>
        <v>50.723827501020345</v>
      </c>
      <c r="H76" s="28">
        <f>INDEX(Base!$N$3:$N$980,MATCH($K76,Base!$B$3:$B$980,0))</f>
        <v>22.9789719626168</v>
      </c>
      <c r="I76" s="28">
        <f>INDEX(Base!$O$3:$O$980,MATCH($K76,Base!$B$3:$B$980,0))</f>
        <v>22.9789719626168</v>
      </c>
      <c r="J76" s="29"/>
      <c r="K76" s="30" t="s">
        <v>96</v>
      </c>
    </row>
    <row r="77" spans="2:11" ht="14.25" hidden="1" customHeight="1" outlineLevel="1" x14ac:dyDescent="0.35">
      <c r="B77" s="24" t="str">
        <f>INDEX(Base!$H$3:$H$980,MATCH($K77,Base!$B$3:$B$980,0))</f>
        <v xml:space="preserve"> COPO SHAKE 400 ML POLIPAPEL BK CX 900 UND </v>
      </c>
      <c r="C77" s="25" t="str">
        <f>IFERROR(IF(INDEX(Base!$I$3:$I$980,MATCH($K77,Base!$B$3:$B$980,0))="","",INDEX(Base!$I$3:$I$980,MATCH($K77,Base!$B$3:$B$980,0))),"sem fornecedor")</f>
        <v>BO PACK</v>
      </c>
      <c r="D77" s="26">
        <f>INDEX(Base!$E$3:$E$980,MATCH($K77,Base!$B$3:$B$980,0))</f>
        <v>201030000415</v>
      </c>
      <c r="E77" s="27">
        <f>IFERROR(INDEX(Base!$K$3:$K$980,MATCH($K77,Base!$B$3:$B$980,0)),"sem estoque")</f>
        <v>38</v>
      </c>
      <c r="F77" s="27">
        <f>INDEX(Base!$L$3:$L$980,MATCH($K77,Base!$B$3:$B$980,0))</f>
        <v>2.4535774827679901</v>
      </c>
      <c r="G77" s="28">
        <f>INDEX(Base!$M$3:$M$980,MATCH($K77,Base!$B$3:$B$980,0))</f>
        <v>15.487589149673196</v>
      </c>
      <c r="H77" s="28">
        <f>INDEX(Base!$N$3:$N$980,MATCH($K77,Base!$B$3:$B$980,0))</f>
        <v>32</v>
      </c>
      <c r="I77" s="28">
        <f>INDEX(Base!$O$3:$O$980,MATCH($K77,Base!$B$3:$B$980,0))</f>
        <v>15.487589149673196</v>
      </c>
      <c r="J77" s="29"/>
      <c r="K77" s="30" t="s">
        <v>97</v>
      </c>
    </row>
    <row r="78" spans="2:11" ht="14.25" hidden="1" customHeight="1" outlineLevel="1" x14ac:dyDescent="0.35">
      <c r="B78" s="24" t="str">
        <f>INDEX(Base!$H$3:$H$980,MATCH($K78,Base!$B$3:$B$980,0))</f>
        <v xml:space="preserve"> COPO CORTESIA BIO 200ML BK CX 2000 UND </v>
      </c>
      <c r="C78" s="25" t="str">
        <f>IFERROR(IF(INDEX(Base!$I$3:$I$980,MATCH($K78,Base!$B$3:$B$980,0))="","",INDEX(Base!$I$3:$I$980,MATCH($K78,Base!$B$3:$B$980,0))),"sem fornecedor")</f>
        <v>ALTACOPPO</v>
      </c>
      <c r="D78" s="26">
        <f>INDEX(Base!$E$3:$E$980,MATCH($K78,Base!$B$3:$B$980,0))</f>
        <v>201030000405</v>
      </c>
      <c r="E78" s="27">
        <f>IFERROR(INDEX(Base!$K$3:$K$980,MATCH($K78,Base!$B$3:$B$980,0)),"sem estoque")</f>
        <v>0</v>
      </c>
      <c r="F78" s="27">
        <f>INDEX(Base!$L$3:$L$980,MATCH($K78,Base!$B$3:$B$980,0))</f>
        <v>0.21156120967741901</v>
      </c>
      <c r="G78" s="28">
        <f>INDEX(Base!$M$3:$M$980,MATCH($K78,Base!$B$3:$B$980,0))</f>
        <v>0</v>
      </c>
      <c r="H78" s="28">
        <f>INDEX(Base!$N$3:$N$980,MATCH($K78,Base!$B$3:$B$980,0))</f>
        <v>20</v>
      </c>
      <c r="I78" s="28">
        <f>INDEX(Base!$O$3:$O$980,MATCH($K78,Base!$B$3:$B$980,0))</f>
        <v>0</v>
      </c>
      <c r="J78" s="29"/>
      <c r="K78" s="30" t="s">
        <v>98</v>
      </c>
    </row>
    <row r="79" spans="2:11" ht="14.25" hidden="1" customHeight="1" outlineLevel="1" x14ac:dyDescent="0.35">
      <c r="B79" s="24" t="str">
        <f>INDEX(Base!$H$3:$H$980,MATCH($K79,Base!$B$3:$B$980,0))</f>
        <v xml:space="preserve"> FUNDO BATATA SUPREMA MEDIA CX 600 UN </v>
      </c>
      <c r="C79" s="25" t="str">
        <f>IFERROR(IF(INDEX(Base!$I$3:$I$980,MATCH($K79,Base!$B$3:$B$980,0))="","",INDEX(Base!$I$3:$I$980,MATCH($K79,Base!$B$3:$B$980,0))),"sem fornecedor")</f>
        <v>INNOVAPACK</v>
      </c>
      <c r="D79" s="26">
        <f>INDEX(Base!$E$3:$E$980,MATCH($K79,Base!$B$3:$B$980,0))</f>
        <v>201030000259</v>
      </c>
      <c r="E79" s="27">
        <f>IFERROR(INDEX(Base!$K$3:$K$980,MATCH($K79,Base!$B$3:$B$980,0)),"sem estoque")</f>
        <v>35</v>
      </c>
      <c r="F79" s="27">
        <f>INDEX(Base!$L$3:$L$980,MATCH($K79,Base!$B$3:$B$980,0))</f>
        <v>2.6721353536664298</v>
      </c>
      <c r="G79" s="28">
        <f>INDEX(Base!$M$3:$M$980,MATCH($K79,Base!$B$3:$B$980,0))</f>
        <v>13.098138891795504</v>
      </c>
      <c r="H79" s="28">
        <f>INDEX(Base!$N$3:$N$980,MATCH($K79,Base!$B$3:$B$980,0))</f>
        <v>16.9540636042403</v>
      </c>
      <c r="I79" s="28">
        <f>INDEX(Base!$O$3:$O$980,MATCH($K79,Base!$B$3:$B$980,0))</f>
        <v>13.098138891795504</v>
      </c>
      <c r="J79" s="29"/>
      <c r="K79" s="30" t="s">
        <v>99</v>
      </c>
    </row>
    <row r="80" spans="2:11" ht="14.25" hidden="1" customHeight="1" outlineLevel="1" x14ac:dyDescent="0.35">
      <c r="B80" s="24" t="str">
        <f>INDEX(Base!$H$3:$H$980,MATCH($K80,Base!$B$3:$B$980,0))</f>
        <v xml:space="preserve"> COPO SHAKE 440ML CX 900 UND </v>
      </c>
      <c r="C80" s="25" t="str">
        <f>IFERROR(IF(INDEX(Base!$I$3:$I$980,MATCH($K80,Base!$B$3:$B$980,0))="","",INDEX(Base!$I$3:$I$980,MATCH($K80,Base!$B$3:$B$980,0))),"sem fornecedor")</f>
        <v>ALTACOPPO</v>
      </c>
      <c r="D80" s="26">
        <f>INDEX(Base!$E$3:$E$980,MATCH($K80,Base!$B$3:$B$980,0))</f>
        <v>201030000292</v>
      </c>
      <c r="E80" s="27">
        <f>IFERROR(INDEX(Base!$K$3:$K$980,MATCH($K80,Base!$B$3:$B$980,0)),"sem estoque")</f>
        <v>56</v>
      </c>
      <c r="F80" s="27">
        <f>INDEX(Base!$L$3:$L$980,MATCH($K80,Base!$B$3:$B$980,0))</f>
        <v>1.52056451612903</v>
      </c>
      <c r="G80" s="28">
        <f>INDEX(Base!$M$3:$M$980,MATCH($K80,Base!$B$3:$B$980,0))</f>
        <v>36.828427472818937</v>
      </c>
      <c r="H80" s="28">
        <f>INDEX(Base!$N$3:$N$980,MATCH($K80,Base!$B$3:$B$980,0))</f>
        <v>41</v>
      </c>
      <c r="I80" s="28">
        <f>INDEX(Base!$O$3:$O$980,MATCH($K80,Base!$B$3:$B$980,0))</f>
        <v>36.828427472818937</v>
      </c>
      <c r="J80" s="29"/>
      <c r="K80" s="30" t="s">
        <v>100</v>
      </c>
    </row>
    <row r="81" spans="2:11" ht="14.25" hidden="1" customHeight="1" outlineLevel="1" x14ac:dyDescent="0.35">
      <c r="B81" s="24" t="str">
        <f>INDEX(Base!$H$3:$H$980,MATCH($K81,Base!$B$3:$B$980,0))</f>
        <v xml:space="preserve"> COPO SUNDAE BK BLISTER 200ML CX 1000UN </v>
      </c>
      <c r="C81" s="25" t="str">
        <f>IFERROR(IF(INDEX(Base!$I$3:$I$980,MATCH($K81,Base!$B$3:$B$980,0))="","",INDEX(Base!$I$3:$I$980,MATCH($K81,Base!$B$3:$B$980,0))),"sem fornecedor")</f>
        <v>BLISTER</v>
      </c>
      <c r="D81" s="26">
        <f>INDEX(Base!$E$3:$E$980,MATCH($K81,Base!$B$3:$B$980,0))</f>
        <v>201030000120</v>
      </c>
      <c r="E81" s="27">
        <f>IFERROR(INDEX(Base!$K$3:$K$980,MATCH($K81,Base!$B$3:$B$980,0)),"sem estoque")</f>
        <v>58</v>
      </c>
      <c r="F81" s="27">
        <f>INDEX(Base!$L$3:$L$980,MATCH($K81,Base!$B$3:$B$980,0))</f>
        <v>1.0812903225806501</v>
      </c>
      <c r="G81" s="28">
        <f>INDEX(Base!$M$3:$M$980,MATCH($K81,Base!$B$3:$B$980,0))</f>
        <v>53.639618138424581</v>
      </c>
      <c r="H81" s="28">
        <f>INDEX(Base!$N$3:$N$980,MATCH($K81,Base!$B$3:$B$980,0))</f>
        <v>22.658385093167698</v>
      </c>
      <c r="I81" s="28">
        <f>INDEX(Base!$O$3:$O$980,MATCH($K81,Base!$B$3:$B$980,0))</f>
        <v>22.658385093167698</v>
      </c>
      <c r="J81" s="29"/>
      <c r="K81" s="30" t="s">
        <v>101</v>
      </c>
    </row>
    <row r="82" spans="2:11" ht="14.25" hidden="1" customHeight="1" outlineLevel="1" x14ac:dyDescent="0.35">
      <c r="B82" s="24" t="str">
        <f>INDEX(Base!$H$3:$H$980,MATCH($K82,Base!$B$3:$B$980,0))</f>
        <v xml:space="preserve"> SAQUINHO DE BATATA BK 22X11FD 6000UND </v>
      </c>
      <c r="C82" s="25" t="str">
        <f>IFERROR(IF(INDEX(Base!$I$3:$I$980,MATCH($K82,Base!$B$3:$B$980,0))="","",INDEX(Base!$I$3:$I$980,MATCH($K82,Base!$B$3:$B$980,0))),"sem fornecedor")</f>
        <v>TRENIER</v>
      </c>
      <c r="D82" s="26">
        <f>INDEX(Base!$E$3:$E$980,MATCH($K82,Base!$B$3:$B$980,0))</f>
        <v>201030000435</v>
      </c>
      <c r="E82" s="27">
        <f>IFERROR(INDEX(Base!$K$3:$K$980,MATCH($K82,Base!$B$3:$B$980,0)),"sem estoque")</f>
        <v>107</v>
      </c>
      <c r="F82" s="27">
        <f>INDEX(Base!$L$3:$L$980,MATCH($K82,Base!$B$3:$B$980,0))</f>
        <v>1.70807737082209</v>
      </c>
      <c r="G82" s="28">
        <f>INDEX(Base!$M$3:$M$980,MATCH($K82,Base!$B$3:$B$980,0))</f>
        <v>62.643532329276972</v>
      </c>
      <c r="H82" s="28">
        <f>INDEX(Base!$N$3:$N$980,MATCH($K82,Base!$B$3:$B$980,0))</f>
        <v>20.063583815028899</v>
      </c>
      <c r="I82" s="28">
        <f>INDEX(Base!$O$3:$O$980,MATCH($K82,Base!$B$3:$B$980,0))</f>
        <v>20.063583815028899</v>
      </c>
      <c r="J82" s="29"/>
      <c r="K82" s="30" t="s">
        <v>102</v>
      </c>
    </row>
    <row r="83" spans="2:11" ht="14.25" hidden="1" customHeight="1" outlineLevel="1" x14ac:dyDescent="0.35">
      <c r="B83" s="24" t="str">
        <f>INDEX(Base!$H$3:$H$980,MATCH($K83,Base!$B$3:$B$980,0))</f>
        <v xml:space="preserve"> PAZINHA SORVETE BK CX 3000UN BRANCA </v>
      </c>
      <c r="C83" s="25" t="str">
        <f>IFERROR(IF(INDEX(Base!$I$3:$I$980,MATCH($K83,Base!$B$3:$B$980,0))="","",INDEX(Base!$I$3:$I$980,MATCH($K83,Base!$B$3:$B$980,0))),"sem fornecedor")</f>
        <v>SERT PLAST</v>
      </c>
      <c r="D83" s="26">
        <f>INDEX(Base!$E$3:$E$980,MATCH($K83,Base!$B$3:$B$980,0))</f>
        <v>201030000144</v>
      </c>
      <c r="E83" s="27">
        <f>IFERROR(INDEX(Base!$K$3:$K$980,MATCH($K83,Base!$B$3:$B$980,0)),"sem estoque")</f>
        <v>64</v>
      </c>
      <c r="F83" s="27">
        <f>INDEX(Base!$L$3:$L$980,MATCH($K83,Base!$B$3:$B$980,0))</f>
        <v>1.64018854185855</v>
      </c>
      <c r="G83" s="28">
        <f>INDEX(Base!$M$3:$M$980,MATCH($K83,Base!$B$3:$B$980,0))</f>
        <v>39.019904338241233</v>
      </c>
      <c r="H83" s="28">
        <f>INDEX(Base!$N$3:$N$980,MATCH($K83,Base!$B$3:$B$980,0))</f>
        <v>20.359375</v>
      </c>
      <c r="I83" s="28">
        <f>INDEX(Base!$O$3:$O$980,MATCH($K83,Base!$B$3:$B$980,0))</f>
        <v>20.359375</v>
      </c>
      <c r="J83" s="29"/>
      <c r="K83" s="30" t="s">
        <v>103</v>
      </c>
    </row>
    <row r="84" spans="2:11" ht="14.25" hidden="1" customHeight="1" outlineLevel="1" x14ac:dyDescent="0.35">
      <c r="B84" s="24" t="str">
        <f>INDEX(Base!$H$3:$H$980,MATCH($K84,Base!$B$3:$B$980,0))</f>
        <v xml:space="preserve"> POTE BK 240ML MOLHAO CX C/600UN </v>
      </c>
      <c r="C84" s="25" t="str">
        <f>IFERROR(IF(INDEX(Base!$I$3:$I$980,MATCH($K84,Base!$B$3:$B$980,0))="","",INDEX(Base!$I$3:$I$980,MATCH($K84,Base!$B$3:$B$980,0))),"sem fornecedor")</f>
        <v>TUICIAL</v>
      </c>
      <c r="D84" s="26">
        <f>INDEX(Base!$E$3:$E$980,MATCH($K84,Base!$B$3:$B$980,0))</f>
        <v>221000000791</v>
      </c>
      <c r="E84" s="27">
        <f>IFERROR(INDEX(Base!$K$3:$K$980,MATCH($K84,Base!$B$3:$B$980,0)),"sem estoque")</f>
        <v>67</v>
      </c>
      <c r="F84" s="27">
        <f>INDEX(Base!$L$3:$L$980,MATCH($K84,Base!$B$3:$B$980,0))</f>
        <v>1.99426829317806</v>
      </c>
      <c r="G84" s="28">
        <f>INDEX(Base!$M$3:$M$980,MATCH($K84,Base!$B$3:$B$980,0))</f>
        <v>33.596282019421267</v>
      </c>
      <c r="H84" s="28">
        <f>INDEX(Base!$N$3:$N$980,MATCH($K84,Base!$B$3:$B$980,0))</f>
        <v>15</v>
      </c>
      <c r="I84" s="28">
        <f>INDEX(Base!$O$3:$O$980,MATCH($K84,Base!$B$3:$B$980,0))</f>
        <v>15</v>
      </c>
      <c r="J84" s="29"/>
      <c r="K84" s="30" t="s">
        <v>104</v>
      </c>
    </row>
    <row r="85" spans="2:11" ht="14.25" hidden="1" customHeight="1" outlineLevel="1" x14ac:dyDescent="0.35">
      <c r="B85" s="24" t="str">
        <f>INDEX(Base!$H$3:$H$980,MATCH($K85,Base!$B$3:$B$980,0))</f>
        <v xml:space="preserve"> TAMPA POTE BK 240ML MOLHAO CX C/600UN </v>
      </c>
      <c r="C85" s="25" t="str">
        <f>IFERROR(IF(INDEX(Base!$I$3:$I$980,MATCH($K85,Base!$B$3:$B$980,0))="","",INDEX(Base!$I$3:$I$980,MATCH($K85,Base!$B$3:$B$980,0))),"sem fornecedor")</f>
        <v>TUICIAL</v>
      </c>
      <c r="D85" s="26">
        <f>INDEX(Base!$E$3:$E$980,MATCH($K85,Base!$B$3:$B$980,0))</f>
        <v>221000000782</v>
      </c>
      <c r="E85" s="27">
        <f>IFERROR(INDEX(Base!$K$3:$K$980,MATCH($K85,Base!$B$3:$B$980,0)),"sem estoque")</f>
        <v>52</v>
      </c>
      <c r="F85" s="27">
        <f>INDEX(Base!$L$3:$L$980,MATCH($K85,Base!$B$3:$B$980,0))</f>
        <v>2.2106512876950499</v>
      </c>
      <c r="G85" s="28">
        <f>INDEX(Base!$M$3:$M$980,MATCH($K85,Base!$B$3:$B$980,0))</f>
        <v>23.522479682545566</v>
      </c>
      <c r="H85" s="28">
        <f>INDEX(Base!$N$3:$N$980,MATCH($K85,Base!$B$3:$B$980,0))</f>
        <v>15</v>
      </c>
      <c r="I85" s="28">
        <f>INDEX(Base!$O$3:$O$980,MATCH($K85,Base!$B$3:$B$980,0))</f>
        <v>15</v>
      </c>
      <c r="J85" s="29"/>
      <c r="K85" s="30" t="s">
        <v>105</v>
      </c>
    </row>
    <row r="86" spans="2:11" ht="14.25" hidden="1" customHeight="1" outlineLevel="1" x14ac:dyDescent="0.35">
      <c r="B86" s="24" t="str">
        <f>INDEX(Base!$H$3:$H$980,MATCH($K86,Base!$B$3:$B$980,0))</f>
        <v xml:space="preserve"> FUNDO BATATA SUPREMA GRANDE CX 350 UN </v>
      </c>
      <c r="C86" s="25" t="str">
        <f>IFERROR(IF(INDEX(Base!$I$3:$I$980,MATCH($K86,Base!$B$3:$B$980,0))="","",INDEX(Base!$I$3:$I$980,MATCH($K86,Base!$B$3:$B$980,0))),"sem fornecedor")</f>
        <v>INNOVAPACK</v>
      </c>
      <c r="D86" s="26">
        <f>INDEX(Base!$E$3:$E$980,MATCH($K86,Base!$B$3:$B$980,0))</f>
        <v>201030000261</v>
      </c>
      <c r="E86" s="27">
        <f>IFERROR(INDEX(Base!$K$3:$K$980,MATCH($K86,Base!$B$3:$B$980,0)),"sem estoque")</f>
        <v>0</v>
      </c>
      <c r="F86" s="27">
        <f>INDEX(Base!$L$3:$L$980,MATCH($K86,Base!$B$3:$B$980,0))</f>
        <v>1.1975235656529799</v>
      </c>
      <c r="G86" s="28">
        <f>INDEX(Base!$M$3:$M$980,MATCH($K86,Base!$B$3:$B$980,0))</f>
        <v>0</v>
      </c>
      <c r="H86" s="28">
        <f>INDEX(Base!$N$3:$N$980,MATCH($K86,Base!$B$3:$B$980,0))</f>
        <v>15.782945736434099</v>
      </c>
      <c r="I86" s="28">
        <f>INDEX(Base!$O$3:$O$980,MATCH($K86,Base!$B$3:$B$980,0))</f>
        <v>0</v>
      </c>
      <c r="J86" s="29"/>
      <c r="K86" s="30" t="s">
        <v>106</v>
      </c>
    </row>
    <row r="87" spans="2:11" ht="14.25" hidden="1" customHeight="1" outlineLevel="1" x14ac:dyDescent="0.35">
      <c r="B87" s="24" t="str">
        <f>INDEX(Base!$H$3:$H$980,MATCH($K87,Base!$B$3:$B$980,0))</f>
        <v xml:space="preserve"> GARFO SOBREMESA CX 1000 UND </v>
      </c>
      <c r="C87" s="25" t="str">
        <f>IFERROR(IF(INDEX(Base!$I$3:$I$980,MATCH($K87,Base!$B$3:$B$980,0))="","",INDEX(Base!$I$3:$I$980,MATCH($K87,Base!$B$3:$B$980,0))),"sem fornecedor")</f>
        <v>SERT PLAST</v>
      </c>
      <c r="D87" s="26">
        <f>INDEX(Base!$E$3:$E$980,MATCH($K87,Base!$B$3:$B$980,0))</f>
        <v>201030000126</v>
      </c>
      <c r="E87" s="27">
        <f>IFERROR(INDEX(Base!$K$3:$K$980,MATCH($K87,Base!$B$3:$B$980,0)),"sem estoque")</f>
        <v>70</v>
      </c>
      <c r="F87" s="27">
        <f>INDEX(Base!$L$3:$L$980,MATCH($K87,Base!$B$3:$B$980,0))</f>
        <v>1.0902785483871</v>
      </c>
      <c r="G87" s="28">
        <f>INDEX(Base!$M$3:$M$980,MATCH($K87,Base!$B$3:$B$980,0))</f>
        <v>64.203776276763648</v>
      </c>
      <c r="H87" s="28">
        <f>INDEX(Base!$N$3:$N$980,MATCH($K87,Base!$B$3:$B$980,0))</f>
        <v>19.5230769230769</v>
      </c>
      <c r="I87" s="28">
        <f>INDEX(Base!$O$3:$O$980,MATCH($K87,Base!$B$3:$B$980,0))</f>
        <v>19.5230769230769</v>
      </c>
      <c r="J87" s="29"/>
      <c r="K87" s="30" t="s">
        <v>107</v>
      </c>
    </row>
    <row r="88" spans="2:11" ht="14.25" hidden="1" customHeight="1" outlineLevel="1" x14ac:dyDescent="0.35">
      <c r="B88" s="24" t="str">
        <f>INDEX(Base!$H$3:$H$980,MATCH($K88,Base!$B$3:$B$980,0))</f>
        <v xml:space="preserve"> KIT GARFO/FACA EMBALADOS </v>
      </c>
      <c r="C88" s="25" t="str">
        <f>IFERROR(IF(INDEX(Base!$I$3:$I$980,MATCH($K88,Base!$B$3:$B$980,0))="","",INDEX(Base!$I$3:$I$980,MATCH($K88,Base!$B$3:$B$980,0))),"sem fornecedor")</f>
        <v>SERT PLAST</v>
      </c>
      <c r="D88" s="26">
        <f>INDEX(Base!$E$3:$E$980,MATCH($K88,Base!$B$3:$B$980,0))</f>
        <v>201030000130</v>
      </c>
      <c r="E88" s="27">
        <f>IFERROR(INDEX(Base!$K$3:$K$980,MATCH($K88,Base!$B$3:$B$980,0)),"sem estoque")</f>
        <v>24</v>
      </c>
      <c r="F88" s="27">
        <f>INDEX(Base!$L$3:$L$980,MATCH($K88,Base!$B$3:$B$980,0))</f>
        <v>0</v>
      </c>
      <c r="G88" s="28">
        <f>INDEX(Base!$M$3:$M$980,MATCH($K88,Base!$B$3:$B$980,0))</f>
        <v>0</v>
      </c>
      <c r="H88" s="28">
        <f>INDEX(Base!$N$3:$N$980,MATCH($K88,Base!$B$3:$B$980,0))</f>
        <v>20.548387096774199</v>
      </c>
      <c r="I88" s="28">
        <f>INDEX(Base!$O$3:$O$980,MATCH($K88,Base!$B$3:$B$980,0))</f>
        <v>0</v>
      </c>
      <c r="J88" s="29"/>
      <c r="K88" s="30" t="s">
        <v>108</v>
      </c>
    </row>
    <row r="89" spans="2:11" ht="14.25" hidden="1" customHeight="1" outlineLevel="1" x14ac:dyDescent="0.35">
      <c r="B89" s="24" t="str">
        <f>INDEX(Base!$H$3:$H$980,MATCH($K89,Base!$B$3:$B$980,0))</f>
        <v xml:space="preserve"> TAMPA BALDE BK 900ML CX 1000UN </v>
      </c>
      <c r="C89" s="25" t="str">
        <f>IFERROR(IF(INDEX(Base!$I$3:$I$980,MATCH($K89,Base!$B$3:$B$980,0))="","",INDEX(Base!$I$3:$I$980,MATCH($K89,Base!$B$3:$B$980,0))),"sem fornecedor")</f>
        <v>BO PACK</v>
      </c>
      <c r="D89" s="26">
        <f>INDEX(Base!$E$3:$E$980,MATCH($K89,Base!$B$3:$B$980,0))</f>
        <v>201030000409</v>
      </c>
      <c r="E89" s="27">
        <f>IFERROR(INDEX(Base!$K$3:$K$980,MATCH($K89,Base!$B$3:$B$980,0)),"sem estoque")</f>
        <v>111</v>
      </c>
      <c r="F89" s="27">
        <f>INDEX(Base!$L$3:$L$980,MATCH($K89,Base!$B$3:$B$980,0))</f>
        <v>0.90862177419354895</v>
      </c>
      <c r="G89" s="28">
        <f>INDEX(Base!$M$3:$M$980,MATCH($K89,Base!$B$3:$B$980,0))</f>
        <v>122.16304204080792</v>
      </c>
      <c r="H89" s="28">
        <f>INDEX(Base!$N$3:$N$980,MATCH($K89,Base!$B$3:$B$980,0))</f>
        <v>23.921052631578998</v>
      </c>
      <c r="I89" s="28">
        <f>INDEX(Base!$O$3:$O$980,MATCH($K89,Base!$B$3:$B$980,0))</f>
        <v>23.921052631578998</v>
      </c>
      <c r="J89" s="29"/>
      <c r="K89" s="30" t="s">
        <v>109</v>
      </c>
    </row>
    <row r="90" spans="2:11" ht="14.25" hidden="1" customHeight="1" outlineLevel="1" x14ac:dyDescent="0.35">
      <c r="B90" s="24" t="str">
        <f>INDEX(Base!$H$3:$H$980,MATCH($K90,Base!$B$3:$B$980,0))</f>
        <v xml:space="preserve"> COPO SUNDAE 180 ML POLIPAPEL BK CX 2000 UND </v>
      </c>
      <c r="C90" s="25" t="str">
        <f>IFERROR(IF(INDEX(Base!$I$3:$I$980,MATCH($K90,Base!$B$3:$B$980,0))="","",INDEX(Base!$I$3:$I$980,MATCH($K90,Base!$B$3:$B$980,0))),"sem fornecedor")</f>
        <v>BO PACK</v>
      </c>
      <c r="D90" s="26">
        <f>INDEX(Base!$E$3:$E$980,MATCH($K90,Base!$B$3:$B$980,0))</f>
        <v>201030000416</v>
      </c>
      <c r="E90" s="27">
        <f>IFERROR(INDEX(Base!$K$3:$K$980,MATCH($K90,Base!$B$3:$B$980,0)),"sem estoque")</f>
        <v>8</v>
      </c>
      <c r="F90" s="27">
        <f>INDEX(Base!$L$3:$L$980,MATCH($K90,Base!$B$3:$B$980,0))</f>
        <v>1.04981180743387</v>
      </c>
      <c r="G90" s="28">
        <f>INDEX(Base!$M$3:$M$980,MATCH($K90,Base!$B$3:$B$980,0))</f>
        <v>7.6204134334847797</v>
      </c>
      <c r="H90" s="28">
        <f>INDEX(Base!$N$3:$N$980,MATCH($K90,Base!$B$3:$B$980,0))</f>
        <v>42</v>
      </c>
      <c r="I90" s="28">
        <f>INDEX(Base!$O$3:$O$980,MATCH($K90,Base!$B$3:$B$980,0))</f>
        <v>7.6204134334847797</v>
      </c>
      <c r="J90" s="29"/>
      <c r="K90" s="30" t="s">
        <v>110</v>
      </c>
    </row>
    <row r="91" spans="2:11" ht="14.25" hidden="1" customHeight="1" outlineLevel="1" x14ac:dyDescent="0.35">
      <c r="B91" s="24" t="str">
        <f>INDEX(Base!$H$3:$H$980,MATCH($K91,Base!$B$3:$B$980,0))</f>
        <v xml:space="preserve"> TAMPA BATATA SUPREMA MEDIA CX 350 UND </v>
      </c>
      <c r="C91" s="25" t="str">
        <f>IFERROR(IF(INDEX(Base!$I$3:$I$980,MATCH($K91,Base!$B$3:$B$980,0))="","",INDEX(Base!$I$3:$I$980,MATCH($K91,Base!$B$3:$B$980,0))),"sem fornecedor")</f>
        <v>INNOVAPACK</v>
      </c>
      <c r="D91" s="26">
        <f>INDEX(Base!$E$3:$E$980,MATCH($K91,Base!$B$3:$B$980,0))</f>
        <v>201030000258</v>
      </c>
      <c r="E91" s="27">
        <f>IFERROR(INDEX(Base!$K$3:$K$980,MATCH($K91,Base!$B$3:$B$980,0)),"sem estoque")</f>
        <v>36</v>
      </c>
      <c r="F91" s="27">
        <f>INDEX(Base!$L$3:$L$980,MATCH($K91,Base!$B$3:$B$980,0))</f>
        <v>0.81871452229375596</v>
      </c>
      <c r="G91" s="28">
        <f>INDEX(Base!$M$3:$M$980,MATCH($K91,Base!$B$3:$B$980,0))</f>
        <v>43.971370996498763</v>
      </c>
      <c r="H91" s="28">
        <f>INDEX(Base!$N$3:$N$980,MATCH($K91,Base!$B$3:$B$980,0))</f>
        <v>45</v>
      </c>
      <c r="I91" s="28">
        <f>INDEX(Base!$O$3:$O$980,MATCH($K91,Base!$B$3:$B$980,0))</f>
        <v>43.971370996498763</v>
      </c>
      <c r="J91" s="29"/>
      <c r="K91" s="30" t="s">
        <v>111</v>
      </c>
    </row>
    <row r="92" spans="2:11" ht="14.25" hidden="1" customHeight="1" outlineLevel="1" x14ac:dyDescent="0.35">
      <c r="B92" s="24" t="str">
        <f>INDEX(Base!$H$3:$H$980,MATCH($K92,Base!$B$3:$B$980,0))</f>
        <v xml:space="preserve"> TAMPA BATATA SUPREMA GRANDE CX 350 UND </v>
      </c>
      <c r="C92" s="25" t="str">
        <f>IFERROR(IF(INDEX(Base!$I$3:$I$980,MATCH($K92,Base!$B$3:$B$980,0))="","",INDEX(Base!$I$3:$I$980,MATCH($K92,Base!$B$3:$B$980,0))),"sem fornecedor")</f>
        <v>INNOVAPACK</v>
      </c>
      <c r="D92" s="26">
        <f>INDEX(Base!$E$3:$E$980,MATCH($K92,Base!$B$3:$B$980,0))</f>
        <v>201030000260</v>
      </c>
      <c r="E92" s="27">
        <f>IFERROR(INDEX(Base!$K$3:$K$980,MATCH($K92,Base!$B$3:$B$980,0)),"sem estoque")</f>
        <v>33</v>
      </c>
      <c r="F92" s="27">
        <f>INDEX(Base!$L$3:$L$980,MATCH($K92,Base!$B$3:$B$980,0))</f>
        <v>0.441468760762254</v>
      </c>
      <c r="G92" s="28">
        <f>INDEX(Base!$M$3:$M$980,MATCH($K92,Base!$B$3:$B$980,0))</f>
        <v>74.750475986162982</v>
      </c>
      <c r="H92" s="28">
        <f>INDEX(Base!$N$3:$N$980,MATCH($K92,Base!$B$3:$B$980,0))</f>
        <v>22</v>
      </c>
      <c r="I92" s="28">
        <f>INDEX(Base!$O$3:$O$980,MATCH($K92,Base!$B$3:$B$980,0))</f>
        <v>22</v>
      </c>
      <c r="J92" s="29"/>
      <c r="K92" s="30" t="s">
        <v>112</v>
      </c>
    </row>
    <row r="93" spans="2:11" ht="14.25" hidden="1" customHeight="1" outlineLevel="1" x14ac:dyDescent="0.35">
      <c r="B93" s="24" t="str">
        <f>INDEX(Base!$H$3:$H$980,MATCH($K93,Base!$B$3:$B$980,0))</f>
        <v xml:space="preserve"> TAMPA SUNDAE BK CX C/1200 UND </v>
      </c>
      <c r="C93" s="25" t="str">
        <f>IFERROR(IF(INDEX(Base!$I$3:$I$980,MATCH($K93,Base!$B$3:$B$980,0))="","",INDEX(Base!$I$3:$I$980,MATCH($K93,Base!$B$3:$B$980,0))),"sem fornecedor")</f>
        <v>BLISTER</v>
      </c>
      <c r="D93" s="26">
        <f>INDEX(Base!$E$3:$E$980,MATCH($K93,Base!$B$3:$B$980,0))</f>
        <v>201030000199</v>
      </c>
      <c r="E93" s="27">
        <f>IFERROR(INDEX(Base!$K$3:$K$980,MATCH($K93,Base!$B$3:$B$980,0)),"sem estoque")</f>
        <v>61</v>
      </c>
      <c r="F93" s="27">
        <f>INDEX(Base!$L$3:$L$980,MATCH($K93,Base!$B$3:$B$980,0))</f>
        <v>3.3931115577825403E-2</v>
      </c>
      <c r="G93" s="28">
        <f>INDEX(Base!$M$3:$M$980,MATCH($K93,Base!$B$3:$B$980,0))</f>
        <v>1797.7599310016381</v>
      </c>
      <c r="H93" s="28">
        <f>INDEX(Base!$N$3:$N$980,MATCH($K93,Base!$B$3:$B$980,0))</f>
        <v>26</v>
      </c>
      <c r="I93" s="28">
        <f>INDEX(Base!$O$3:$O$980,MATCH($K93,Base!$B$3:$B$980,0))</f>
        <v>26</v>
      </c>
      <c r="J93" s="29"/>
      <c r="K93" s="30" t="s">
        <v>113</v>
      </c>
    </row>
    <row r="94" spans="2:11" ht="14.25" hidden="1" customHeight="1" outlineLevel="1" x14ac:dyDescent="0.35">
      <c r="B94" s="24" t="str">
        <f>INDEX(Base!$H$3:$H$980,MATCH($K94,Base!$B$3:$B$980,0))</f>
        <v>CART KING JR INSTITUCIONAL CX 200</v>
      </c>
      <c r="C94" s="25" t="str">
        <f>IFERROR(IF(INDEX(Base!$I$3:$I$980,MATCH($K94,Base!$B$3:$B$980,0))="","",INDEX(Base!$I$3:$I$980,MATCH($K94,Base!$B$3:$B$980,0))),"sem fornecedor")</f>
        <v>INNOVAPACK</v>
      </c>
      <c r="D94" s="26">
        <f>INDEX(Base!$E$3:$E$980,MATCH($K94,Base!$B$3:$B$980,0))</f>
        <v>221000000884</v>
      </c>
      <c r="E94" s="27">
        <f>IFERROR(INDEX(Base!$K$3:$K$980,MATCH($K94,Base!$B$3:$B$980,0)),"sem estoque")</f>
        <v>65</v>
      </c>
      <c r="F94" s="27">
        <f>INDEX(Base!$L$3:$L$980,MATCH($K94,Base!$B$3:$B$980,0))</f>
        <v>3.2100806451612902</v>
      </c>
      <c r="G94" s="28">
        <f>INDEX(Base!$M$3:$M$980,MATCH($K94,Base!$B$3:$B$980,0))</f>
        <v>20.248712473307375</v>
      </c>
      <c r="H94" s="28">
        <f>INDEX(Base!$N$3:$N$980,MATCH($K94,Base!$B$3:$B$980,0))</f>
        <v>20</v>
      </c>
      <c r="I94" s="28">
        <f>INDEX(Base!$O$3:$O$980,MATCH($K94,Base!$B$3:$B$980,0))</f>
        <v>20</v>
      </c>
      <c r="J94" s="29"/>
      <c r="K94" s="30" t="s">
        <v>114</v>
      </c>
    </row>
    <row r="95" spans="2:11" ht="14.25" customHeight="1" collapsed="1" x14ac:dyDescent="0.35">
      <c r="B95" s="19" t="s">
        <v>115</v>
      </c>
      <c r="C95" s="19"/>
      <c r="D95" s="20"/>
      <c r="E95" s="21">
        <f>SUMIFS(Base!$K$3:$K$980,Base!$J$3:$J$980,"Ara",Base!$G$3:$G$980,$B95,Base!$K$3:$K$980,"&lt;&gt;#N/A")</f>
        <v>2139</v>
      </c>
      <c r="F95" s="21">
        <f>SUMIFS(Base!$L$3:$L$980,Base!$J$3:$J$980,"Ara",Base!$G$3:$G$980,$B95)</f>
        <v>174.91522462735091</v>
      </c>
      <c r="G95" s="22">
        <f>IFERROR(E95/F95,0)</f>
        <v>12.228781139875299</v>
      </c>
      <c r="H95" s="22"/>
      <c r="I95" s="22">
        <f>IFERROR(SUMIFS(Base!$P$3:$P$980,Base!$J$3:$J$980,"Ara",Base!$G$3:$G$980,$B95)/F95,0)</f>
        <v>11.29143669000886</v>
      </c>
      <c r="J95" s="23">
        <f>1+SUMPRODUCT(($K$6:$K$114="")*($I$6:$I$114&lt;I95))</f>
        <v>4</v>
      </c>
      <c r="K95" s="23"/>
    </row>
    <row r="96" spans="2:11" ht="14.25" hidden="1" customHeight="1" outlineLevel="1" x14ac:dyDescent="0.35">
      <c r="B96" s="24" t="str">
        <f>INDEX(Base!$H$3:$H$980,MATCH($K96,Base!$B$3:$B$980,0))</f>
        <v xml:space="preserve"> CASQUINHA SORVETE BK - CX COM 300 UND </v>
      </c>
      <c r="C96" s="25" t="str">
        <f>IFERROR(IF(INDEX(Base!$I$3:$I$980,MATCH($K96,Base!$B$3:$B$980,0))="","",INDEX(Base!$I$3:$I$980,MATCH($K96,Base!$B$3:$B$980,0))),"sem fornecedor")</f>
        <v>DUPON</v>
      </c>
      <c r="D96" s="26">
        <f>INDEX(Base!$E$3:$E$980,MATCH($K96,Base!$B$3:$B$980,0))</f>
        <v>201010000212</v>
      </c>
      <c r="E96" s="27">
        <f>IFERROR(INDEX(Base!$K$3:$K$980,MATCH($K96,Base!$B$3:$B$980,0)),"sem estoque")</f>
        <v>905</v>
      </c>
      <c r="F96" s="27">
        <f>INDEX(Base!$L$3:$L$980,MATCH($K96,Base!$B$3:$B$980,0))</f>
        <v>46.756007253388901</v>
      </c>
      <c r="G96" s="28">
        <f>INDEX(Base!$M$3:$M$980,MATCH($K96,Base!$B$3:$B$980,0))</f>
        <v>19.355801599898271</v>
      </c>
      <c r="H96" s="28">
        <f>INDEX(Base!$N$3:$N$980,MATCH($K96,Base!$B$3:$B$980,0))</f>
        <v>18.092827004219401</v>
      </c>
      <c r="I96" s="28">
        <f>INDEX(Base!$O$3:$O$980,MATCH($K96,Base!$B$3:$B$980,0))</f>
        <v>18.092827004219401</v>
      </c>
      <c r="J96" s="29"/>
      <c r="K96" s="30" t="s">
        <v>116</v>
      </c>
    </row>
    <row r="97" spans="2:11" ht="14.25" hidden="1" customHeight="1" outlineLevel="1" x14ac:dyDescent="0.35">
      <c r="B97" s="24" t="str">
        <f>INDEX(Base!$H$3:$H$980,MATCH($K97,Base!$B$3:$B$980,0))</f>
        <v xml:space="preserve"> DOCE DE LEITE BK BISNAGA 1.5KG ELEGE CX4BG </v>
      </c>
      <c r="C97" s="25" t="str">
        <f>IFERROR(IF(INDEX(Base!$I$3:$I$980,MATCH($K97,Base!$B$3:$B$980,0))="","",INDEX(Base!$I$3:$I$980,MATCH($K97,Base!$B$3:$B$980,0))),"sem fornecedor")</f>
        <v>LACTALIS1</v>
      </c>
      <c r="D97" s="26">
        <f>INDEX(Base!$E$3:$E$980,MATCH($K97,Base!$B$3:$B$980,0))</f>
        <v>201010000577</v>
      </c>
      <c r="E97" s="27">
        <f>IFERROR(INDEX(Base!$K$3:$K$980,MATCH($K97,Base!$B$3:$B$980,0)),"sem estoque")</f>
        <v>240</v>
      </c>
      <c r="F97" s="27">
        <f>INDEX(Base!$L$3:$L$980,MATCH($K97,Base!$B$3:$B$980,0))</f>
        <v>30.754929823689199</v>
      </c>
      <c r="G97" s="28">
        <f>INDEX(Base!$M$3:$M$980,MATCH($K97,Base!$B$3:$B$980,0))</f>
        <v>7.8036269754430823</v>
      </c>
      <c r="H97" s="28">
        <f>INDEX(Base!$N$3:$N$980,MATCH($K97,Base!$B$3:$B$980,0))</f>
        <v>22.725583864118899</v>
      </c>
      <c r="I97" s="28">
        <f>INDEX(Base!$O$3:$O$980,MATCH($K97,Base!$B$3:$B$980,0))</f>
        <v>7.8036269754430823</v>
      </c>
      <c r="J97" s="29"/>
      <c r="K97" s="30" t="s">
        <v>117</v>
      </c>
    </row>
    <row r="98" spans="2:11" ht="14.25" hidden="1" customHeight="1" outlineLevel="1" x14ac:dyDescent="0.35">
      <c r="B98" s="24" t="str">
        <f>INDEX(Base!$H$3:$H$980,MATCH($K98,Base!$B$3:$B$980,0))</f>
        <v xml:space="preserve"> BROWNIE PICADO SEM NOZES BK 1KG C/4 </v>
      </c>
      <c r="C98" s="25" t="str">
        <f>IFERROR(IF(INDEX(Base!$I$3:$I$980,MATCH($K98,Base!$B$3:$B$980,0))="","",INDEX(Base!$I$3:$I$980,MATCH($K98,Base!$B$3:$B$980,0))),"sem fornecedor")</f>
        <v>ALIBEY</v>
      </c>
      <c r="D98" s="26">
        <f>INDEX(Base!$E$3:$E$980,MATCH($K98,Base!$B$3:$B$980,0))</f>
        <v>201010000598</v>
      </c>
      <c r="E98" s="27">
        <f>IFERROR(INDEX(Base!$K$3:$K$980,MATCH($K98,Base!$B$3:$B$980,0)),"sem estoque")</f>
        <v>429</v>
      </c>
      <c r="F98" s="27">
        <f>INDEX(Base!$L$3:$L$980,MATCH($K98,Base!$B$3:$B$980,0))</f>
        <v>18.6752136855998</v>
      </c>
      <c r="G98" s="28">
        <f>INDEX(Base!$M$3:$M$980,MATCH($K98,Base!$B$3:$B$980,0))</f>
        <v>22.971624701183259</v>
      </c>
      <c r="H98" s="28">
        <f>INDEX(Base!$N$3:$N$980,MATCH($K98,Base!$B$3:$B$980,0))</f>
        <v>17.354330708661401</v>
      </c>
      <c r="I98" s="28">
        <f>INDEX(Base!$O$3:$O$980,MATCH($K98,Base!$B$3:$B$980,0))</f>
        <v>17.354330708661401</v>
      </c>
      <c r="J98" s="29"/>
      <c r="K98" s="30" t="s">
        <v>118</v>
      </c>
    </row>
    <row r="99" spans="2:11" ht="14.25" hidden="1" customHeight="1" outlineLevel="1" x14ac:dyDescent="0.35">
      <c r="B99" s="24" t="str">
        <f>INDEX(Base!$H$3:$H$980,MATCH($K99,Base!$B$3:$B$980,0))</f>
        <v xml:space="preserve"> NUTELLA BK CX C/2X3KG </v>
      </c>
      <c r="C99" s="25" t="str">
        <f>IFERROR(IF(INDEX(Base!$I$3:$I$980,MATCH($K99,Base!$B$3:$B$980,0))="","",INDEX(Base!$I$3:$I$980,MATCH($K99,Base!$B$3:$B$980,0))),"sem fornecedor")</f>
        <v>FERRERO BR</v>
      </c>
      <c r="D99" s="26">
        <f>INDEX(Base!$E$3:$E$980,MATCH($K99,Base!$B$3:$B$980,0))</f>
        <v>201010000638</v>
      </c>
      <c r="E99" s="27">
        <f>IFERROR(INDEX(Base!$K$3:$K$980,MATCH($K99,Base!$B$3:$B$980,0)),"sem estoque")</f>
        <v>293</v>
      </c>
      <c r="F99" s="27">
        <f>INDEX(Base!$L$3:$L$980,MATCH($K99,Base!$B$3:$B$980,0))</f>
        <v>25.099172252164401</v>
      </c>
      <c r="G99" s="28">
        <f>INDEX(Base!$M$3:$M$980,MATCH($K99,Base!$B$3:$B$980,0))</f>
        <v>11.673691747931386</v>
      </c>
      <c r="H99" s="28">
        <f>INDEX(Base!$N$3:$N$980,MATCH($K99,Base!$B$3:$B$980,0))</f>
        <v>19</v>
      </c>
      <c r="I99" s="28">
        <f>INDEX(Base!$O$3:$O$980,MATCH($K99,Base!$B$3:$B$980,0))</f>
        <v>11.673691747931386</v>
      </c>
      <c r="J99" s="29"/>
      <c r="K99" s="30" t="s">
        <v>119</v>
      </c>
    </row>
    <row r="100" spans="2:11" ht="14.25" hidden="1" customHeight="1" outlineLevel="1" x14ac:dyDescent="0.35">
      <c r="B100" s="24" t="str">
        <f>INDEX(Base!$H$3:$H$980,MATCH($K100,Base!$B$3:$B$980,0))</f>
        <v xml:space="preserve"> CALDA MORANGO 6X1,25 CX C/7,5 KG </v>
      </c>
      <c r="C100" s="25" t="str">
        <f>IFERROR(IF(INDEX(Base!$I$3:$I$980,MATCH($K100,Base!$B$3:$B$980,0))="","",INDEX(Base!$I$3:$I$980,MATCH($K100,Base!$B$3:$B$980,0))),"sem fornecedor")</f>
        <v>CELLIER</v>
      </c>
      <c r="D100" s="26">
        <f>INDEX(Base!$E$3:$E$980,MATCH($K100,Base!$B$3:$B$980,0))</f>
        <v>201010000572</v>
      </c>
      <c r="E100" s="27">
        <f>IFERROR(INDEX(Base!$K$3:$K$980,MATCH($K100,Base!$B$3:$B$980,0)),"sem estoque")</f>
        <v>12</v>
      </c>
      <c r="F100" s="27">
        <f>INDEX(Base!$L$3:$L$980,MATCH($K100,Base!$B$3:$B$980,0))</f>
        <v>12.716901123747601</v>
      </c>
      <c r="G100" s="28">
        <f>INDEX(Base!$M$3:$M$980,MATCH($K100,Base!$B$3:$B$980,0))</f>
        <v>0.94362611482377134</v>
      </c>
      <c r="H100" s="28">
        <f>INDEX(Base!$N$3:$N$980,MATCH($K100,Base!$B$3:$B$980,0))</f>
        <v>18.355623100304001</v>
      </c>
      <c r="I100" s="28">
        <f>INDEX(Base!$O$3:$O$980,MATCH($K100,Base!$B$3:$B$980,0))</f>
        <v>0.94362611482377134</v>
      </c>
      <c r="J100" s="29"/>
      <c r="K100" s="30" t="s">
        <v>120</v>
      </c>
    </row>
    <row r="101" spans="2:11" ht="14.25" hidden="1" customHeight="1" outlineLevel="1" x14ac:dyDescent="0.35">
      <c r="B101" s="24" t="str">
        <f>INDEX(Base!$H$3:$H$980,MATCH($K101,Base!$B$3:$B$980,0))</f>
        <v xml:space="preserve"> BROWNIE BRIGADEIRO BK CX 24X50 G </v>
      </c>
      <c r="C101" s="25" t="str">
        <f>IFERROR(IF(INDEX(Base!$I$3:$I$980,MATCH($K101,Base!$B$3:$B$980,0))="","",INDEX(Base!$I$3:$I$980,MATCH($K101,Base!$B$3:$B$980,0))),"sem fornecedor")</f>
        <v>ALIBEY</v>
      </c>
      <c r="D101" s="26">
        <f>INDEX(Base!$E$3:$E$980,MATCH($K101,Base!$B$3:$B$980,0))</f>
        <v>201010000602</v>
      </c>
      <c r="E101" s="27">
        <f>IFERROR(INDEX(Base!$K$3:$K$980,MATCH($K101,Base!$B$3:$B$980,0)),"sem estoque")</f>
        <v>157</v>
      </c>
      <c r="F101" s="27">
        <f>INDEX(Base!$L$3:$L$980,MATCH($K101,Base!$B$3:$B$980,0))</f>
        <v>11.547919323969699</v>
      </c>
      <c r="G101" s="28">
        <f>INDEX(Base!$M$3:$M$980,MATCH($K101,Base!$B$3:$B$980,0))</f>
        <v>13.595522760028242</v>
      </c>
      <c r="H101" s="28">
        <f>INDEX(Base!$N$3:$N$980,MATCH($K101,Base!$B$3:$B$980,0))</f>
        <v>18</v>
      </c>
      <c r="I101" s="28">
        <f>INDEX(Base!$O$3:$O$980,MATCH($K101,Base!$B$3:$B$980,0))</f>
        <v>13.595522760028242</v>
      </c>
      <c r="J101" s="29"/>
      <c r="K101" s="30" t="s">
        <v>121</v>
      </c>
    </row>
    <row r="102" spans="2:11" ht="14.25" hidden="1" customHeight="1" outlineLevel="1" x14ac:dyDescent="0.35">
      <c r="B102" s="24" t="str">
        <f>INDEX(Base!$H$3:$H$980,MATCH($K102,Base!$B$3:$B$980,0))</f>
        <v xml:space="preserve"> MISTURA MILK SHAKE BAU BK CX 13,16 </v>
      </c>
      <c r="C102" s="25" t="str">
        <f>IFERROR(IF(INDEX(Base!$I$3:$I$980,MATCH($K102,Base!$B$3:$B$980,0))="","",INDEX(Base!$I$3:$I$980,MATCH($K102,Base!$B$3:$B$980,0))),"sem fornecedor")</f>
        <v>DOHLER 01</v>
      </c>
      <c r="D102" s="26">
        <f>INDEX(Base!$E$3:$E$980,MATCH($K102,Base!$B$3:$B$980,0))</f>
        <v>201010000632</v>
      </c>
      <c r="E102" s="27">
        <f>IFERROR(INDEX(Base!$K$3:$K$980,MATCH($K102,Base!$B$3:$B$980,0)),"sem estoque")</f>
        <v>86</v>
      </c>
      <c r="F102" s="27">
        <f>INDEX(Base!$L$3:$L$980,MATCH($K102,Base!$B$3:$B$980,0))</f>
        <v>7.9956735954201497</v>
      </c>
      <c r="G102" s="28">
        <f>INDEX(Base!$M$3:$M$980,MATCH($K102,Base!$B$3:$B$980,0))</f>
        <v>10.755816751856909</v>
      </c>
      <c r="H102" s="28">
        <f>INDEX(Base!$N$3:$N$980,MATCH($K102,Base!$B$3:$B$980,0))</f>
        <v>16.707136997538999</v>
      </c>
      <c r="I102" s="28">
        <f>INDEX(Base!$O$3:$O$980,MATCH($K102,Base!$B$3:$B$980,0))</f>
        <v>10.755816751856909</v>
      </c>
      <c r="J102" s="29"/>
      <c r="K102" s="30" t="s">
        <v>122</v>
      </c>
    </row>
    <row r="103" spans="2:11" ht="14.25" hidden="1" customHeight="1" outlineLevel="1" x14ac:dyDescent="0.35">
      <c r="B103" s="24" t="str">
        <f>INDEX(Base!$H$3:$H$980,MATCH($K103,Base!$B$3:$B$980,0))</f>
        <v xml:space="preserve"> COBERTURA CHOCO BK CX 9X1,05 KG CLEAN LABEL </v>
      </c>
      <c r="C103" s="25" t="str">
        <f>IFERROR(IF(INDEX(Base!$I$3:$I$980,MATCH($K103,Base!$B$3:$B$980,0))="","",INDEX(Base!$I$3:$I$980,MATCH($K103,Base!$B$3:$B$980,0))),"sem fornecedor")</f>
        <v>CARINO</v>
      </c>
      <c r="D103" s="26">
        <f>INDEX(Base!$E$3:$E$980,MATCH($K103,Base!$B$3:$B$980,0))</f>
        <v>201010000432</v>
      </c>
      <c r="E103" s="27">
        <f>IFERROR(INDEX(Base!$K$3:$K$980,MATCH($K103,Base!$B$3:$B$980,0)),"sem estoque")</f>
        <v>-25</v>
      </c>
      <c r="F103" s="27">
        <f>INDEX(Base!$L$3:$L$980,MATCH($K103,Base!$B$3:$B$980,0))</f>
        <v>10.9578552147954</v>
      </c>
      <c r="G103" s="28">
        <f>INDEX(Base!$M$3:$M$980,MATCH($K103,Base!$B$3:$B$980,0))</f>
        <v>-2.2814683631012724</v>
      </c>
      <c r="H103" s="28">
        <f>INDEX(Base!$N$3:$N$980,MATCH($K103,Base!$B$3:$B$980,0))</f>
        <v>21</v>
      </c>
      <c r="I103" s="28">
        <f>INDEX(Base!$O$3:$O$980,MATCH($K103,Base!$B$3:$B$980,0))</f>
        <v>-2.2814683631012724</v>
      </c>
      <c r="J103" s="29"/>
      <c r="K103" s="30" t="s">
        <v>123</v>
      </c>
    </row>
    <row r="104" spans="2:11" ht="14.25" hidden="1" customHeight="1" outlineLevel="1" x14ac:dyDescent="0.35">
      <c r="B104" s="24" t="str">
        <f>INDEX(Base!$H$3:$H$980,MATCH($K104,Base!$B$3:$B$980,0))</f>
        <v xml:space="preserve"> OVOMALTINE FLOCOS CX 12X750GR </v>
      </c>
      <c r="C104" s="25" t="str">
        <f>IFERROR(IF(INDEX(Base!$I$3:$I$980,MATCH($K104,Base!$B$3:$B$980,0))="","",INDEX(Base!$I$3:$I$980,MATCH($K104,Base!$B$3:$B$980,0))),"sem fornecedor")</f>
        <v>AB BRASIL</v>
      </c>
      <c r="D104" s="26">
        <f>INDEX(Base!$E$3:$E$980,MATCH($K104,Base!$B$3:$B$980,0))</f>
        <v>201010000507</v>
      </c>
      <c r="E104" s="27">
        <f>IFERROR(INDEX(Base!$K$3:$K$980,MATCH($K104,Base!$B$3:$B$980,0)),"sem estoque")</f>
        <v>0</v>
      </c>
      <c r="F104" s="27">
        <f>INDEX(Base!$L$3:$L$980,MATCH($K104,Base!$B$3:$B$980,0))</f>
        <v>6.9382795698855197</v>
      </c>
      <c r="G104" s="28">
        <f>INDEX(Base!$M$3:$M$980,MATCH($K104,Base!$B$3:$B$980,0))</f>
        <v>0</v>
      </c>
      <c r="H104" s="28">
        <f>INDEX(Base!$N$3:$N$980,MATCH($K104,Base!$B$3:$B$980,0))</f>
        <v>19</v>
      </c>
      <c r="I104" s="28">
        <f>INDEX(Base!$O$3:$O$980,MATCH($K104,Base!$B$3:$B$980,0))</f>
        <v>0</v>
      </c>
      <c r="J104" s="29"/>
      <c r="K104" s="30" t="s">
        <v>124</v>
      </c>
    </row>
    <row r="105" spans="2:11" ht="14.25" hidden="1" customHeight="1" outlineLevel="1" x14ac:dyDescent="0.35">
      <c r="B105" s="24" t="str">
        <f>INDEX(Base!$H$3:$H$980,MATCH($K105,Base!$B$3:$B$980,0))</f>
        <v xml:space="preserve"> COOKIE GRANULADO BAUNI CL CX5X1KG </v>
      </c>
      <c r="C105" s="25" t="str">
        <f>IFERROR(IF(INDEX(Base!$I$3:$I$980,MATCH($K105,Base!$B$3:$B$980,0))="","",INDEX(Base!$I$3:$I$980,MATCH($K105,Base!$B$3:$B$980,0))),"sem fornecedor")</f>
        <v>CARINO</v>
      </c>
      <c r="D105" s="26">
        <f>INDEX(Base!$E$3:$E$980,MATCH($K105,Base!$B$3:$B$980,0))</f>
        <v>201010000506</v>
      </c>
      <c r="E105" s="27">
        <f>IFERROR(INDEX(Base!$K$3:$K$980,MATCH($K105,Base!$B$3:$B$980,0)),"sem estoque")</f>
        <v>42</v>
      </c>
      <c r="F105" s="27">
        <f>INDEX(Base!$L$3:$L$980,MATCH($K105,Base!$B$3:$B$980,0))</f>
        <v>3.47327278469028</v>
      </c>
      <c r="G105" s="28">
        <f>INDEX(Base!$M$3:$M$980,MATCH($K105,Base!$B$3:$B$980,0))</f>
        <v>12.092341317137645</v>
      </c>
      <c r="H105" s="28">
        <f>INDEX(Base!$N$3:$N$980,MATCH($K105,Base!$B$3:$B$980,0))</f>
        <v>18</v>
      </c>
      <c r="I105" s="28">
        <f>INDEX(Base!$O$3:$O$980,MATCH($K105,Base!$B$3:$B$980,0))</f>
        <v>12.092341317137645</v>
      </c>
      <c r="J105" s="29"/>
      <c r="K105" s="30" t="s">
        <v>125</v>
      </c>
    </row>
    <row r="106" spans="2:11" ht="14.25" customHeight="1" collapsed="1" x14ac:dyDescent="0.35">
      <c r="B106" s="19" t="s">
        <v>126</v>
      </c>
      <c r="C106" s="19"/>
      <c r="D106" s="20"/>
      <c r="E106" s="21">
        <f>SUMIFS(Base!$K$3:$K$980,Base!$J$3:$J$980,"Ara",Base!$G$3:$G$980,$B106,Base!$K$3:$K$980,"&lt;&gt;#N/A")</f>
        <v>1650</v>
      </c>
      <c r="F106" s="21">
        <f>SUMIFS(Base!$L$3:$L$980,Base!$J$3:$J$980,"Ara",Base!$G$3:$G$980,$B106)</f>
        <v>69.085595903891601</v>
      </c>
      <c r="G106" s="22">
        <f>IFERROR(E106/F106,0)</f>
        <v>23.883415615252083</v>
      </c>
      <c r="H106" s="22"/>
      <c r="I106" s="22">
        <f>IFERROR(SUMIFS(Base!$P$3:$P$980,Base!$J$3:$J$980,"Ara",Base!$G$3:$G$980,$B106)/F106,0)</f>
        <v>17.78097374280221</v>
      </c>
      <c r="J106" s="23">
        <f>1+SUMPRODUCT(($K$6:$K$114="")*($I$6:$I$114&lt;I106))</f>
        <v>7</v>
      </c>
      <c r="K106" s="23"/>
    </row>
    <row r="107" spans="2:11" ht="14.25" hidden="1" customHeight="1" outlineLevel="1" x14ac:dyDescent="0.35">
      <c r="B107" s="24" t="str">
        <f>INDEX(Base!$H$3:$H$980,MATCH($K107,Base!$B$3:$B$980,0))</f>
        <v xml:space="preserve"> OLEO ESPECIAL SUPREMA BK CX 18KG </v>
      </c>
      <c r="C107" s="25" t="str">
        <f>IFERROR(IF(INDEX(Base!$I$3:$I$980,MATCH($K107,Base!$B$3:$B$980,0))="","",INDEX(Base!$I$3:$I$980,MATCH($K107,Base!$B$3:$B$980,0))),"sem fornecedor")</f>
        <v>BUNGE</v>
      </c>
      <c r="D107" s="26">
        <f>INDEX(Base!$E$3:$E$980,MATCH($K107,Base!$B$3:$B$980,0))</f>
        <v>201010000387</v>
      </c>
      <c r="E107" s="27">
        <f>IFERROR(INDEX(Base!$K$3:$K$980,MATCH($K107,Base!$B$3:$B$980,0)),"sem estoque")</f>
        <v>1069</v>
      </c>
      <c r="F107" s="27">
        <f>INDEX(Base!$L$3:$L$980,MATCH($K107,Base!$B$3:$B$980,0))</f>
        <v>54.2165725810789</v>
      </c>
      <c r="G107" s="28">
        <f>INDEX(Base!$M$3:$M$980,MATCH($K107,Base!$B$3:$B$980,0))</f>
        <v>19.71721835424675</v>
      </c>
      <c r="H107" s="28">
        <f>INDEX(Base!$N$3:$N$980,MATCH($K107,Base!$B$3:$B$980,0))</f>
        <v>18.036324531007299</v>
      </c>
      <c r="I107" s="28">
        <f>INDEX(Base!$O$3:$O$980,MATCH($K107,Base!$B$3:$B$980,0))</f>
        <v>18.036324531007299</v>
      </c>
      <c r="J107" s="29"/>
      <c r="K107" s="30" t="s">
        <v>127</v>
      </c>
    </row>
    <row r="108" spans="2:11" ht="14.25" hidden="1" customHeight="1" outlineLevel="1" x14ac:dyDescent="0.35">
      <c r="B108" s="24" t="str">
        <f>INDEX(Base!$H$3:$H$980,MATCH($K108,Base!$B$3:$B$980,0))</f>
        <v xml:space="preserve"> CEBOLA FRITA CRISPY BENASSI 10X500 GR </v>
      </c>
      <c r="C108" s="25" t="str">
        <f>IFERROR(IF(INDEX(Base!$I$3:$I$980,MATCH($K108,Base!$B$3:$B$980,0))="","",INDEX(Base!$I$3:$I$980,MATCH($K108,Base!$B$3:$B$980,0))),"sem fornecedor")</f>
        <v>BENASSI AN</v>
      </c>
      <c r="D108" s="26">
        <f>INDEX(Base!$E$3:$E$980,MATCH($K108,Base!$B$3:$B$980,0))</f>
        <v>201010000625</v>
      </c>
      <c r="E108" s="27">
        <f>IFERROR(INDEX(Base!$K$3:$K$980,MATCH($K108,Base!$B$3:$B$980,0)),"sem estoque")</f>
        <v>78</v>
      </c>
      <c r="F108" s="27">
        <f>INDEX(Base!$L$3:$L$980,MATCH($K108,Base!$B$3:$B$980,0))</f>
        <v>4.1858918038422201</v>
      </c>
      <c r="G108" s="28">
        <f>INDEX(Base!$M$3:$M$980,MATCH($K108,Base!$B$3:$B$980,0))</f>
        <v>18.634022008978825</v>
      </c>
      <c r="H108" s="28">
        <f>INDEX(Base!$N$3:$N$980,MATCH($K108,Base!$B$3:$B$980,0))</f>
        <v>23.901878914405</v>
      </c>
      <c r="I108" s="28">
        <f>INDEX(Base!$O$3:$O$980,MATCH($K108,Base!$B$3:$B$980,0))</f>
        <v>18.634022008978825</v>
      </c>
      <c r="J108" s="29"/>
      <c r="K108" s="30" t="s">
        <v>128</v>
      </c>
    </row>
    <row r="109" spans="2:11" ht="14.25" hidden="1" customHeight="1" outlineLevel="1" x14ac:dyDescent="0.35">
      <c r="B109" s="24" t="str">
        <f>INDEX(Base!$H$3:$H$980,MATCH($K109,Base!$B$3:$B$980,0))</f>
        <v xml:space="preserve">TEMPERO SAL E PIMENTA BK BLEND 1,01KG </v>
      </c>
      <c r="C109" s="25" t="str">
        <f>IFERROR(IF(INDEX(Base!$I$3:$I$980,MATCH($K109,Base!$B$3:$B$980,0))="","",INDEX(Base!$I$3:$I$980,MATCH($K109,Base!$B$3:$B$980,0))),"sem fornecedor")</f>
        <v>KERRY4</v>
      </c>
      <c r="D109" s="26">
        <f>INDEX(Base!$E$3:$E$980,MATCH($K109,Base!$B$3:$B$980,0))</f>
        <v>221000000855</v>
      </c>
      <c r="E109" s="27">
        <f>IFERROR(INDEX(Base!$K$3:$K$980,MATCH($K109,Base!$B$3:$B$980,0)),"sem estoque")</f>
        <v>93</v>
      </c>
      <c r="F109" s="27">
        <f>INDEX(Base!$L$3:$L$980,MATCH($K109,Base!$B$3:$B$980,0))</f>
        <v>4.8880911963898601</v>
      </c>
      <c r="G109" s="28">
        <f>INDEX(Base!$M$3:$M$980,MATCH($K109,Base!$B$3:$B$980,0))</f>
        <v>19.025831610647099</v>
      </c>
      <c r="H109" s="28">
        <f>INDEX(Base!$N$3:$N$980,MATCH($K109,Base!$B$3:$B$980,0))</f>
        <v>15</v>
      </c>
      <c r="I109" s="28">
        <f>INDEX(Base!$O$3:$O$980,MATCH($K109,Base!$B$3:$B$980,0))</f>
        <v>15</v>
      </c>
      <c r="J109" s="29"/>
      <c r="K109" s="30" t="s">
        <v>129</v>
      </c>
    </row>
    <row r="110" spans="2:11" ht="14.25" hidden="1" customHeight="1" outlineLevel="1" x14ac:dyDescent="0.35">
      <c r="B110" s="24" t="str">
        <f>INDEX(Base!$H$3:$H$980,MATCH($K110,Base!$B$3:$B$980,0))</f>
        <v xml:space="preserve"> SAL BK 0,5KG X 20FD </v>
      </c>
      <c r="C110" s="25" t="str">
        <f>IFERROR(IF(INDEX(Base!$I$3:$I$980,MATCH($K110,Base!$B$3:$B$980,0))="","",INDEX(Base!$I$3:$I$980,MATCH($K110,Base!$B$3:$B$980,0))),"sem fornecedor")</f>
        <v>KERRY</v>
      </c>
      <c r="D110" s="26">
        <f>INDEX(Base!$E$3:$E$980,MATCH($K110,Base!$B$3:$B$980,0))</f>
        <v>201010000336</v>
      </c>
      <c r="E110" s="27">
        <f>IFERROR(INDEX(Base!$K$3:$K$980,MATCH($K110,Base!$B$3:$B$980,0)),"sem estoque")</f>
        <v>356</v>
      </c>
      <c r="F110" s="27">
        <f>INDEX(Base!$L$3:$L$980,MATCH($K110,Base!$B$3:$B$980,0))</f>
        <v>5.1530241935483696</v>
      </c>
      <c r="G110" s="28">
        <f>INDEX(Base!$M$3:$M$980,MATCH($K110,Base!$B$3:$B$980,0))</f>
        <v>69.085644978285771</v>
      </c>
      <c r="H110" s="28">
        <f>INDEX(Base!$N$3:$N$980,MATCH($K110,Base!$B$3:$B$980,0))</f>
        <v>16.4289580514208</v>
      </c>
      <c r="I110" s="28">
        <f>INDEX(Base!$O$3:$O$980,MATCH($K110,Base!$B$3:$B$980,0))</f>
        <v>16.4289580514208</v>
      </c>
      <c r="J110" s="29"/>
      <c r="K110" s="30" t="s">
        <v>130</v>
      </c>
    </row>
    <row r="111" spans="2:11" ht="14.25" hidden="1" customHeight="1" outlineLevel="1" x14ac:dyDescent="0.35">
      <c r="B111" s="24" t="str">
        <f>INDEX(Base!$H$3:$H$980,MATCH($K111,Base!$B$3:$B$980,0))</f>
        <v xml:space="preserve"> SAL REFINADO SACHE JR CX2500UN 0,8G </v>
      </c>
      <c r="C111" s="25" t="str">
        <f>IFERROR(IF(INDEX(Base!$I$3:$I$980,MATCH($K111,Base!$B$3:$B$980,0))="","",INDEX(Base!$I$3:$I$980,MATCH($K111,Base!$B$3:$B$980,0))),"sem fornecedor")</f>
        <v>KERRY</v>
      </c>
      <c r="D111" s="26">
        <f>INDEX(Base!$E$3:$E$980,MATCH($K111,Base!$B$3:$B$980,0))</f>
        <v>201010000591</v>
      </c>
      <c r="E111" s="27">
        <f>IFERROR(INDEX(Base!$K$3:$K$980,MATCH($K111,Base!$B$3:$B$980,0)),"sem estoque")</f>
        <v>54</v>
      </c>
      <c r="F111" s="27">
        <f>INDEX(Base!$L$3:$L$980,MATCH($K111,Base!$B$3:$B$980,0))</f>
        <v>0.64201612903225802</v>
      </c>
      <c r="G111" s="28">
        <f>INDEX(Base!$M$3:$M$980,MATCH($K111,Base!$B$3:$B$980,0))</f>
        <v>84.110036427584475</v>
      </c>
      <c r="H111" s="28">
        <f>INDEX(Base!$N$3:$N$980,MATCH($K111,Base!$B$3:$B$980,0))</f>
        <v>22.6805555555556</v>
      </c>
      <c r="I111" s="28">
        <f>INDEX(Base!$O$3:$O$980,MATCH($K111,Base!$B$3:$B$980,0))</f>
        <v>22.6805555555556</v>
      </c>
      <c r="J111" s="29"/>
      <c r="K111" s="30" t="s">
        <v>131</v>
      </c>
    </row>
    <row r="112" spans="2:11" ht="14.25" customHeight="1" collapsed="1" x14ac:dyDescent="0.35">
      <c r="B112" s="19" t="s">
        <v>132</v>
      </c>
      <c r="C112" s="19"/>
      <c r="D112" s="20"/>
      <c r="E112" s="21">
        <f>SUMIFS(Base!$K$3:$K$980,Base!$J$3:$J$980,"Ara",Base!$G$3:$G$980,$B112,Base!$K$3:$K$980,"&lt;&gt;#N/A")</f>
        <v>600</v>
      </c>
      <c r="F112" s="21">
        <f>SUMIFS(Base!$L$3:$L$980,Base!$J$3:$J$980,"Ara",Base!$G$3:$G$980,$B112)</f>
        <v>43.701888141956744</v>
      </c>
      <c r="G112" s="22">
        <f>IFERROR(E112/F112,0)</f>
        <v>13.729383912452967</v>
      </c>
      <c r="H112" s="22"/>
      <c r="I112" s="22">
        <f>IFERROR(SUMIFS(Base!$P$3:$P$980,Base!$J$3:$J$980,"Ara",Base!$G$3:$G$980,$B112)/F112,0)</f>
        <v>13.729383912452967</v>
      </c>
      <c r="J112" s="23">
        <f>1+SUMPRODUCT(($K$6:$K$114="")*($I$6:$I$114&lt;I112))</f>
        <v>5</v>
      </c>
      <c r="K112" s="23"/>
    </row>
    <row r="113" spans="2:11" ht="14.25" hidden="1" customHeight="1" outlineLevel="1" x14ac:dyDescent="0.35">
      <c r="B113" s="24" t="str">
        <f>INDEX(Base!$H$3:$H$980,MATCH($K113,Base!$B$3:$B$980,0))</f>
        <v xml:space="preserve"> PEPINO FATIADO DRENAD BK CX6X2,300KG </v>
      </c>
      <c r="C113" s="25" t="str">
        <f>IFERROR(IF(INDEX(Base!$I$3:$I$980,MATCH($K113,Base!$B$3:$B$980,0))="","",INDEX(Base!$I$3:$I$980,MATCH($K113,Base!$B$3:$B$980,0))),"sem fornecedor")</f>
        <v>REFRICON</v>
      </c>
      <c r="D113" s="26">
        <f>INDEX(Base!$E$3:$E$980,MATCH($K113,Base!$B$3:$B$980,0))</f>
        <v>201010000653</v>
      </c>
      <c r="E113" s="27">
        <f>IFERROR(INDEX(Base!$K$3:$K$980,MATCH($K113,Base!$B$3:$B$980,0)),"sem estoque")</f>
        <v>483</v>
      </c>
      <c r="F113" s="27">
        <f>INDEX(Base!$L$3:$L$980,MATCH($K113,Base!$B$3:$B$980,0))</f>
        <v>40.417231811602903</v>
      </c>
      <c r="G113" s="28">
        <f>INDEX(Base!$M$3:$M$980,MATCH($K113,Base!$B$3:$B$980,0))</f>
        <v>11.950348362584824</v>
      </c>
      <c r="H113" s="28">
        <f>INDEX(Base!$N$3:$N$980,MATCH($K113,Base!$B$3:$B$980,0))</f>
        <v>17.537622272385299</v>
      </c>
      <c r="I113" s="28">
        <f>INDEX(Base!$O$3:$O$980,MATCH($K113,Base!$B$3:$B$980,0))</f>
        <v>11.950348362584824</v>
      </c>
      <c r="J113" s="29"/>
      <c r="K113" s="30" t="s">
        <v>133</v>
      </c>
    </row>
    <row r="114" spans="2:11" ht="14.25" hidden="1" customHeight="1" outlineLevel="1" x14ac:dyDescent="0.35">
      <c r="B114" s="24" t="str">
        <f>INDEX(Base!$H$3:$H$980,MATCH($K114,Base!$B$3:$B$980,0))</f>
        <v xml:space="preserve"> PIMENTA JALAPENO FAT CLEAN CX6X1,5KG </v>
      </c>
      <c r="C114" s="25" t="str">
        <f>IFERROR(IF(INDEX(Base!$I$3:$I$980,MATCH($K114,Base!$B$3:$B$980,0))="","",INDEX(Base!$I$3:$I$980,MATCH($K114,Base!$B$3:$B$980,0))),"sem fornecedor")</f>
        <v>REFRICON</v>
      </c>
      <c r="D114" s="26">
        <f>INDEX(Base!$E$3:$E$980,MATCH($K114,Base!$B$3:$B$980,0))</f>
        <v>201010000335</v>
      </c>
      <c r="E114" s="27">
        <f>IFERROR(INDEX(Base!$K$3:$K$980,MATCH($K114,Base!$B$3:$B$980,0)),"sem estoque")</f>
        <v>117</v>
      </c>
      <c r="F114" s="27">
        <f>INDEX(Base!$L$3:$L$980,MATCH($K114,Base!$B$3:$B$980,0))</f>
        <v>3.2846563303538399</v>
      </c>
      <c r="G114" s="28">
        <f>INDEX(Base!$M$3:$M$980,MATCH($K114,Base!$B$3:$B$980,0))</f>
        <v>35.620164861325435</v>
      </c>
      <c r="H114" s="28">
        <f>INDEX(Base!$N$3:$N$980,MATCH($K114,Base!$B$3:$B$980,0))</f>
        <v>35.916044776119399</v>
      </c>
      <c r="I114" s="28">
        <f>INDEX(Base!$O$3:$O$980,MATCH($K114,Base!$B$3:$B$980,0))</f>
        <v>35.620164861325435</v>
      </c>
      <c r="J114" s="29"/>
      <c r="K114" s="30" t="s">
        <v>134</v>
      </c>
    </row>
    <row r="115" spans="2:11" ht="14.25" customHeight="1" collapsed="1" x14ac:dyDescent="0.35">
      <c r="B115" s="15" t="s">
        <v>8</v>
      </c>
      <c r="C115" s="15"/>
      <c r="D115" s="31"/>
      <c r="E115" s="10">
        <f>SUMIFS(Base!$K$3:$K$980,Base!$J$3:$J$980,"Ara",Base!$K$3:$K$980,"&lt;&gt;#N/A")</f>
        <v>77726</v>
      </c>
      <c r="F115" s="10">
        <f>SUMIFS(Base!$L$3:$L$980,Base!$J$3:$J$980,"Ara")</f>
        <v>3289.4847073203118</v>
      </c>
      <c r="G115" s="16">
        <f>IFERROR(E115/F115,0)</f>
        <v>23.628624819878656</v>
      </c>
      <c r="H115" s="32"/>
      <c r="I115" s="16">
        <f>IFERROR(SUMIFS(Base!$P$3:$P$980,Base!$J$3:$J$980,"Ara")/F115,0)</f>
        <v>12.654822563936424</v>
      </c>
      <c r="J115" s="15"/>
      <c r="K115" s="15"/>
    </row>
    <row r="117" spans="2:11" ht="14.25" customHeight="1" x14ac:dyDescent="0.35">
      <c r="B117" s="2"/>
    </row>
  </sheetData>
  <conditionalFormatting sqref="I6:I115">
    <cfRule type="cellIs" dxfId="3" priority="1" operator="lessThan">
      <formula>7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E11:I44 F45:I85 F86:I90 F91:I94 F95:I112" formula="1"/>
    <ignoredError sqref="E45:E85 E86:E90 E91:E94 E95:E112" evalError="1" formula="1"/>
    <ignoredError sqref="E113:E11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17"/>
  <sheetViews>
    <sheetView showGridLines="0" zoomScaleNormal="100" workbookViewId="0">
      <pane xSplit="2" ySplit="5" topLeftCell="C88" activePane="bottomRight" state="frozen"/>
      <selection pane="topRight" activeCell="C1" sqref="C1"/>
      <selection pane="bottomLeft" activeCell="A6" sqref="A6"/>
      <selection pane="bottomRight" activeCell="I1" sqref="I1:I1048576"/>
    </sheetView>
  </sheetViews>
  <sheetFormatPr defaultColWidth="8.6328125" defaultRowHeight="14.5" outlineLevelRow="1" x14ac:dyDescent="0.35"/>
  <cols>
    <col min="1" max="1" width="4" customWidth="1"/>
    <col min="2" max="2" width="44" customWidth="1"/>
    <col min="3" max="4" width="14" customWidth="1"/>
    <col min="5" max="6" width="12" customWidth="1"/>
    <col min="7" max="7" width="10" customWidth="1"/>
    <col min="8" max="8" width="9" customWidth="1"/>
    <col min="9" max="9" width="13" customWidth="1"/>
    <col min="10" max="10" width="11" hidden="1" customWidth="1"/>
    <col min="11" max="11" width="16" hidden="1" customWidth="1"/>
  </cols>
  <sheetData>
    <row r="2" spans="2:11" ht="18" customHeight="1" x14ac:dyDescent="0.45">
      <c r="B2" s="1" t="s">
        <v>135</v>
      </c>
    </row>
    <row r="3" spans="2:11" ht="14.25" customHeight="1" x14ac:dyDescent="0.35">
      <c r="B3" s="2"/>
    </row>
    <row r="5" spans="2:11" ht="31.5" customHeight="1" x14ac:dyDescent="0.35">
      <c r="B5" s="4" t="s">
        <v>18</v>
      </c>
      <c r="C5" s="4" t="s">
        <v>16</v>
      </c>
      <c r="D5" s="4" t="s">
        <v>19</v>
      </c>
      <c r="E5" s="4" t="s">
        <v>20</v>
      </c>
      <c r="F5" s="4" t="s">
        <v>21</v>
      </c>
      <c r="G5" s="4" t="s">
        <v>5</v>
      </c>
      <c r="H5" s="4" t="s">
        <v>22</v>
      </c>
      <c r="I5" s="4" t="s">
        <v>23</v>
      </c>
      <c r="J5" s="4" t="s">
        <v>24</v>
      </c>
      <c r="K5" s="18" t="s">
        <v>25</v>
      </c>
    </row>
    <row r="6" spans="2:11" ht="14.25" customHeight="1" x14ac:dyDescent="0.35">
      <c r="B6" s="19" t="s">
        <v>26</v>
      </c>
      <c r="C6" s="19"/>
      <c r="D6" s="20"/>
      <c r="E6" s="21">
        <f>SUMIFS(Base!$K$3:$K$980,Base!$J$3:$J$980,"Jpe",Base!$G$3:$G$980,$B6,Base!$K$3:$K$980,"&lt;&gt;#N/A")</f>
        <v>5209</v>
      </c>
      <c r="F6" s="21">
        <f>SUMIFS(Base!$L$3:$L$980,Base!$J$3:$J$980,"Jpe",Base!$G$3:$G$980,$B6)</f>
        <v>226.35611572735488</v>
      </c>
      <c r="G6" s="22">
        <f>IFERROR(E6/F6,0)</f>
        <v>23.012411143660998</v>
      </c>
      <c r="H6" s="22"/>
      <c r="I6" s="22">
        <f>IFERROR(SUMIFS(Base!$P$3:$P$980,Base!$J$3:$J$980,"Jpe",Base!$G$3:$G$980,$B6)/F6,0)</f>
        <v>17.2075996501346</v>
      </c>
      <c r="J6" s="23">
        <f>1+SUMPRODUCT(($K$6:$K$114="")*($I$6:$I$114&lt;I6))</f>
        <v>9</v>
      </c>
      <c r="K6" s="23"/>
    </row>
    <row r="7" spans="2:11" ht="14.25" customHeight="1" outlineLevel="1" x14ac:dyDescent="0.35">
      <c r="B7" s="24" t="str">
        <f>INDEX(Base!$H$3:$H$980,MATCH($K7,Base!$B$3:$B$980,0))</f>
        <v xml:space="preserve"> SUCO UVA/ MACA NATURAL ONE 180 ML FD C/6UN </v>
      </c>
      <c r="C7" s="25" t="str">
        <f>IFERROR(IF(INDEX(Base!$I$3:$I$980,MATCH($K7,Base!$B$3:$B$980,0))="","",INDEX(Base!$I$3:$I$980,MATCH($K7,Base!$B$3:$B$980,0))),"sem fornecedor")</f>
        <v>NATURALONE</v>
      </c>
      <c r="D7" s="26">
        <f>INDEX(Base!$E$3:$E$980,MATCH($K7,Base!$B$3:$B$980,0))</f>
        <v>221000000780</v>
      </c>
      <c r="E7" s="27">
        <f>IFERROR(INDEX(Base!$K$3:$K$980,MATCH($K7,Base!$B$3:$B$980,0)),"sem estoque")</f>
        <v>2429</v>
      </c>
      <c r="F7" s="27">
        <f>INDEX(Base!$L$3:$L$980,MATCH($K7,Base!$B$3:$B$980,0))</f>
        <v>94.522795699113701</v>
      </c>
      <c r="G7" s="28">
        <f>INDEX(Base!$M$3:$M$980,MATCH($K7,Base!$B$3:$B$980,0))</f>
        <v>25.697504840335309</v>
      </c>
      <c r="H7" s="28">
        <f>INDEX(Base!$N$3:$N$980,MATCH($K7,Base!$B$3:$B$980,0))</f>
        <v>18</v>
      </c>
      <c r="I7" s="28">
        <f>INDEX(Base!$O$3:$O$980,MATCH($K7,Base!$B$3:$B$980,0))</f>
        <v>18</v>
      </c>
      <c r="J7" s="29"/>
      <c r="K7" s="30" t="s">
        <v>136</v>
      </c>
    </row>
    <row r="8" spans="2:11" ht="14.25" customHeight="1" outlineLevel="1" x14ac:dyDescent="0.35">
      <c r="B8" s="24" t="str">
        <f>INDEX(Base!$H$3:$H$980,MATCH($K8,Base!$B$3:$B$980,0))</f>
        <v xml:space="preserve"> SUCO LARANJA COM MACA FD 12X300ML </v>
      </c>
      <c r="C8" s="25" t="str">
        <f>IFERROR(IF(INDEX(Base!$I$3:$I$980,MATCH($K8,Base!$B$3:$B$980,0))="","",INDEX(Base!$I$3:$I$980,MATCH($K8,Base!$B$3:$B$980,0))),"sem fornecedor")</f>
        <v>NATURALONE</v>
      </c>
      <c r="D8" s="26">
        <f>INDEX(Base!$E$3:$E$980,MATCH($K8,Base!$B$3:$B$980,0))</f>
        <v>221000000541</v>
      </c>
      <c r="E8" s="27">
        <f>IFERROR(INDEX(Base!$K$3:$K$980,MATCH($K8,Base!$B$3:$B$980,0)),"sem estoque")</f>
        <v>1154</v>
      </c>
      <c r="F8" s="27">
        <f>INDEX(Base!$L$3:$L$980,MATCH($K8,Base!$B$3:$B$980,0))</f>
        <v>59.081949681612997</v>
      </c>
      <c r="G8" s="28">
        <f>INDEX(Base!$M$3:$M$980,MATCH($K8,Base!$B$3:$B$980,0))</f>
        <v>19.532192255313106</v>
      </c>
      <c r="H8" s="28">
        <f>INDEX(Base!$N$3:$N$980,MATCH($K8,Base!$B$3:$B$980,0))</f>
        <v>15</v>
      </c>
      <c r="I8" s="28">
        <f>INDEX(Base!$O$3:$O$980,MATCH($K8,Base!$B$3:$B$980,0))</f>
        <v>15</v>
      </c>
      <c r="J8" s="29"/>
      <c r="K8" s="30" t="s">
        <v>137</v>
      </c>
    </row>
    <row r="9" spans="2:11" ht="14.25" customHeight="1" outlineLevel="1" x14ac:dyDescent="0.35">
      <c r="B9" s="24" t="str">
        <f>INDEX(Base!$H$3:$H$980,MATCH($K9,Base!$B$3:$B$980,0))</f>
        <v xml:space="preserve"> SUCO UVA MACA 12X300ML PPY/BK </v>
      </c>
      <c r="C9" s="25" t="str">
        <f>IFERROR(IF(INDEX(Base!$I$3:$I$980,MATCH($K9,Base!$B$3:$B$980,0))="","",INDEX(Base!$I$3:$I$980,MATCH($K9,Base!$B$3:$B$980,0))),"sem fornecedor")</f>
        <v>NATURALONE</v>
      </c>
      <c r="D9" s="26">
        <f>INDEX(Base!$E$3:$E$980,MATCH($K9,Base!$B$3:$B$980,0))</f>
        <v>201080000086</v>
      </c>
      <c r="E9" s="27">
        <f>IFERROR(INDEX(Base!$K$3:$K$980,MATCH($K9,Base!$B$3:$B$980,0)),"sem estoque")</f>
        <v>1385</v>
      </c>
      <c r="F9" s="27">
        <f>INDEX(Base!$L$3:$L$980,MATCH($K9,Base!$B$3:$B$980,0))</f>
        <v>59.244769443756503</v>
      </c>
      <c r="G9" s="28">
        <f>INDEX(Base!$M$3:$M$980,MATCH($K9,Base!$B$3:$B$980,0))</f>
        <v>23.377591186591374</v>
      </c>
      <c r="H9" s="28">
        <f>INDEX(Base!$N$3:$N$980,MATCH($K9,Base!$B$3:$B$980,0))</f>
        <v>18</v>
      </c>
      <c r="I9" s="28">
        <f>INDEX(Base!$O$3:$O$980,MATCH($K9,Base!$B$3:$B$980,0))</f>
        <v>18</v>
      </c>
      <c r="J9" s="29"/>
      <c r="K9" s="30" t="s">
        <v>138</v>
      </c>
    </row>
    <row r="10" spans="2:11" ht="14.25" customHeight="1" outlineLevel="1" x14ac:dyDescent="0.35">
      <c r="B10" s="24" t="str">
        <f>INDEX(Base!$H$3:$H$980,MATCH($K10,Base!$B$3:$B$980,0))</f>
        <v xml:space="preserve"> AGUA MINERAL BURGER KING CX 48 UN </v>
      </c>
      <c r="C10" s="25" t="str">
        <f>IFERROR(IF(INDEX(Base!$I$3:$I$980,MATCH($K10,Base!$B$3:$B$980,0))="","",INDEX(Base!$I$3:$I$980,MATCH($K10,Base!$B$3:$B$980,0))),"sem fornecedor")</f>
        <v>FLAMIN</v>
      </c>
      <c r="D10" s="26">
        <f>INDEX(Base!$E$3:$E$980,MATCH($K10,Base!$B$3:$B$980,0))</f>
        <v>201080000005</v>
      </c>
      <c r="E10" s="27">
        <f>IFERROR(INDEX(Base!$K$3:$K$980,MATCH($K10,Base!$B$3:$B$980,0)),"sem estoque")</f>
        <v>241</v>
      </c>
      <c r="F10" s="27">
        <f>INDEX(Base!$L$3:$L$980,MATCH($K10,Base!$B$3:$B$980,0))</f>
        <v>13.5066009028717</v>
      </c>
      <c r="G10" s="28">
        <f>INDEX(Base!$M$3:$M$980,MATCH($K10,Base!$B$3:$B$980,0))</f>
        <v>17.843127351809137</v>
      </c>
      <c r="H10" s="28">
        <f>INDEX(Base!$N$3:$N$980,MATCH($K10,Base!$B$3:$B$980,0))</f>
        <v>31</v>
      </c>
      <c r="I10" s="28">
        <f>INDEX(Base!$O$3:$O$980,MATCH($K10,Base!$B$3:$B$980,0))</f>
        <v>17.843127351809137</v>
      </c>
      <c r="J10" s="29"/>
      <c r="K10" s="30" t="s">
        <v>139</v>
      </c>
    </row>
    <row r="11" spans="2:11" ht="14.25" customHeight="1" x14ac:dyDescent="0.35">
      <c r="B11" s="19" t="s">
        <v>31</v>
      </c>
      <c r="C11" s="19"/>
      <c r="D11" s="20"/>
      <c r="E11" s="21">
        <f>SUMIFS(Base!$K$3:$K$980,Base!$J$3:$J$980,"Jpe",Base!$G$3:$G$980,$B11,Base!$K$3:$K$980,"&lt;&gt;#N/A")</f>
        <v>1638</v>
      </c>
      <c r="F11" s="21">
        <f>SUMIFS(Base!$L$3:$L$980,Base!$J$3:$J$980,"Jpe",Base!$G$3:$G$980,$B11)</f>
        <v>332.37518927638564</v>
      </c>
      <c r="G11" s="22">
        <f>IFERROR(E11/F11,0)</f>
        <v>4.9281656779679963</v>
      </c>
      <c r="H11" s="22"/>
      <c r="I11" s="22">
        <f>IFERROR(SUMIFS(Base!$P$3:$P$980,Base!$J$3:$J$980,"Jpe",Base!$G$3:$G$980,$B11)/F11,0)</f>
        <v>4.9281656779679963</v>
      </c>
      <c r="J11" s="23">
        <f>1+SUMPRODUCT(($K$6:$K$114="")*($I$6:$I$114&lt;I11))</f>
        <v>1</v>
      </c>
      <c r="K11" s="23"/>
    </row>
    <row r="12" spans="2:11" ht="14.25" customHeight="1" outlineLevel="1" x14ac:dyDescent="0.35">
      <c r="B12" s="24" t="str">
        <f>INDEX(Base!$H$3:$H$980,MATCH($K12,Base!$B$3:$B$980,0))</f>
        <v xml:space="preserve"> PAO BK 5 CL CXG CONG 10500G UNB </v>
      </c>
      <c r="C12" s="25" t="str">
        <f>IFERROR(IF(INDEX(Base!$I$3:$I$980,MATCH($K12,Base!$B$3:$B$980,0))="","",INDEX(Base!$I$3:$I$980,MATCH($K12,Base!$B$3:$B$980,0))),"sem fornecedor")</f>
        <v>BIMBO</v>
      </c>
      <c r="D12" s="26">
        <f>INDEX(Base!$E$3:$E$980,MATCH($K12,Base!$B$3:$B$980,0))</f>
        <v>201010000575</v>
      </c>
      <c r="E12" s="27">
        <f>IFERROR(INDEX(Base!$K$3:$K$980,MATCH($K12,Base!$B$3:$B$980,0)),"sem estoque")</f>
        <v>669</v>
      </c>
      <c r="F12" s="27">
        <f>INDEX(Base!$L$3:$L$980,MATCH($K12,Base!$B$3:$B$980,0))</f>
        <v>113.338551546061</v>
      </c>
      <c r="G12" s="28">
        <f>INDEX(Base!$M$3:$M$980,MATCH($K12,Base!$B$3:$B$980,0))</f>
        <v>5.9026693995477535</v>
      </c>
      <c r="H12" s="28">
        <f>INDEX(Base!$N$3:$N$980,MATCH($K12,Base!$B$3:$B$980,0))</f>
        <v>7.03</v>
      </c>
      <c r="I12" s="28">
        <f>INDEX(Base!$O$3:$O$980,MATCH($K12,Base!$B$3:$B$980,0))</f>
        <v>5.9026693995477535</v>
      </c>
      <c r="J12" s="29"/>
      <c r="K12" s="30" t="s">
        <v>140</v>
      </c>
    </row>
    <row r="13" spans="2:11" ht="14.25" customHeight="1" outlineLevel="1" x14ac:dyDescent="0.35">
      <c r="B13" s="24" t="str">
        <f>INDEX(Base!$H$3:$H$980,MATCH($K13,Base!$B$3:$B$980,0))</f>
        <v xml:space="preserve"> PAO BK 4 CONG CXG 14900G UNB </v>
      </c>
      <c r="C13" s="25" t="str">
        <f>IFERROR(IF(INDEX(Base!$I$3:$I$980,MATCH($K13,Base!$B$3:$B$980,0))="","",INDEX(Base!$I$3:$I$980,MATCH($K13,Base!$B$3:$B$980,0))),"sem fornecedor")</f>
        <v>BIMBO</v>
      </c>
      <c r="D13" s="26">
        <f>INDEX(Base!$E$3:$E$980,MATCH($K13,Base!$B$3:$B$980,0))</f>
        <v>201010000262</v>
      </c>
      <c r="E13" s="27">
        <f>IFERROR(INDEX(Base!$K$3:$K$980,MATCH($K13,Base!$B$3:$B$980,0)),"sem estoque")</f>
        <v>757</v>
      </c>
      <c r="F13" s="27">
        <f>INDEX(Base!$L$3:$L$980,MATCH($K13,Base!$B$3:$B$980,0))</f>
        <v>192.45040443594499</v>
      </c>
      <c r="G13" s="28">
        <f>INDEX(Base!$M$3:$M$980,MATCH($K13,Base!$B$3:$B$980,0))</f>
        <v>3.9334809517220797</v>
      </c>
      <c r="H13" s="28">
        <f>INDEX(Base!$N$3:$N$980,MATCH($K13,Base!$B$3:$B$980,0))</f>
        <v>7.86</v>
      </c>
      <c r="I13" s="28">
        <f>INDEX(Base!$O$3:$O$980,MATCH($K13,Base!$B$3:$B$980,0))</f>
        <v>3.9334809517220797</v>
      </c>
      <c r="J13" s="29"/>
      <c r="K13" s="30" t="s">
        <v>141</v>
      </c>
    </row>
    <row r="14" spans="2:11" ht="14.25" customHeight="1" outlineLevel="1" x14ac:dyDescent="0.35">
      <c r="B14" s="24" t="str">
        <f>INDEX(Base!$H$3:$H$980,MATCH($K14,Base!$B$3:$B$980,0))</f>
        <v xml:space="preserve"> PAO SUPREMO BK CONG CX 180 UND </v>
      </c>
      <c r="C14" s="25" t="str">
        <f>IFERROR(IF(INDEX(Base!$I$3:$I$980,MATCH($K14,Base!$B$3:$B$980,0))="","",INDEX(Base!$I$3:$I$980,MATCH($K14,Base!$B$3:$B$980,0))),"sem fornecedor")</f>
        <v>BIMBO</v>
      </c>
      <c r="D14" s="26">
        <f>INDEX(Base!$E$3:$E$980,MATCH($K14,Base!$B$3:$B$980,0))</f>
        <v>201010000368</v>
      </c>
      <c r="E14" s="27">
        <f>IFERROR(INDEX(Base!$K$3:$K$980,MATCH($K14,Base!$B$3:$B$980,0)),"sem estoque")</f>
        <v>119</v>
      </c>
      <c r="F14" s="27">
        <f>INDEX(Base!$L$3:$L$980,MATCH($K14,Base!$B$3:$B$980,0))</f>
        <v>19.032023747042299</v>
      </c>
      <c r="G14" s="28">
        <f>INDEX(Base!$M$3:$M$980,MATCH($K14,Base!$B$3:$B$980,0))</f>
        <v>6.2526193526052838</v>
      </c>
      <c r="H14" s="28">
        <f>INDEX(Base!$N$3:$N$980,MATCH($K14,Base!$B$3:$B$980,0))</f>
        <v>10</v>
      </c>
      <c r="I14" s="28">
        <f>INDEX(Base!$O$3:$O$980,MATCH($K14,Base!$B$3:$B$980,0))</f>
        <v>6.2526193526052838</v>
      </c>
      <c r="J14" s="29"/>
      <c r="K14" s="30" t="s">
        <v>142</v>
      </c>
    </row>
    <row r="15" spans="2:11" ht="14.25" customHeight="1" outlineLevel="1" x14ac:dyDescent="0.35">
      <c r="B15" s="24" t="str">
        <f>INDEX(Base!$H$3:$H$980,MATCH($K15,Base!$B$3:$B$980,0))</f>
        <v xml:space="preserve"> PAO BRIOCHE BK CX 192 UND </v>
      </c>
      <c r="C15" s="25" t="str">
        <f>IFERROR(IF(INDEX(Base!$I$3:$I$980,MATCH($K15,Base!$B$3:$B$980,0))="","",INDEX(Base!$I$3:$I$980,MATCH($K15,Base!$B$3:$B$980,0))),"sem fornecedor")</f>
        <v>BIMBO</v>
      </c>
      <c r="D15" s="26">
        <f>INDEX(Base!$E$3:$E$980,MATCH($K15,Base!$B$3:$B$980,0))</f>
        <v>201010000492</v>
      </c>
      <c r="E15" s="27">
        <f>IFERROR(INDEX(Base!$K$3:$K$980,MATCH($K15,Base!$B$3:$B$980,0)),"sem estoque")</f>
        <v>93</v>
      </c>
      <c r="F15" s="27">
        <f>INDEX(Base!$L$3:$L$980,MATCH($K15,Base!$B$3:$B$980,0))</f>
        <v>7.5542095473373703</v>
      </c>
      <c r="G15" s="28">
        <f>INDEX(Base!$M$3:$M$980,MATCH($K15,Base!$B$3:$B$980,0))</f>
        <v>12.311016714221235</v>
      </c>
      <c r="H15" s="28">
        <f>INDEX(Base!$N$3:$N$980,MATCH($K15,Base!$B$3:$B$980,0))</f>
        <v>15</v>
      </c>
      <c r="I15" s="28">
        <f>INDEX(Base!$O$3:$O$980,MATCH($K15,Base!$B$3:$B$980,0))</f>
        <v>12.311016714221235</v>
      </c>
      <c r="J15" s="29"/>
      <c r="K15" s="30" t="s">
        <v>143</v>
      </c>
    </row>
    <row r="16" spans="2:11" ht="14.25" customHeight="1" x14ac:dyDescent="0.35">
      <c r="B16" s="19" t="s">
        <v>36</v>
      </c>
      <c r="C16" s="19"/>
      <c r="D16" s="20"/>
      <c r="E16" s="21">
        <f>SUMIFS(Base!$K$3:$K$980,Base!$J$3:$J$980,"Jpe",Base!$G$3:$G$980,$B16,Base!$K$3:$K$980,"&lt;&gt;#N/A")</f>
        <v>7001</v>
      </c>
      <c r="F16" s="21">
        <f>SUMIFS(Base!$L$3:$L$980,Base!$J$3:$J$980,"Jpe",Base!$G$3:$G$980,$B16)</f>
        <v>460.34046107760361</v>
      </c>
      <c r="G16" s="22">
        <f>IFERROR(E16/F16,0)</f>
        <v>15.208309049375046</v>
      </c>
      <c r="H16" s="22"/>
      <c r="I16" s="22">
        <f>IFERROR(SUMIFS(Base!$P$3:$P$980,Base!$J$3:$J$980,"Jpe",Base!$G$3:$G$980,$B16)/F16,0)</f>
        <v>9.6034715827618395</v>
      </c>
      <c r="J16" s="23">
        <f>1+SUMPRODUCT(($K$6:$K$114="")*($I$6:$I$114&lt;I16))</f>
        <v>2</v>
      </c>
      <c r="K16" s="23"/>
    </row>
    <row r="17" spans="2:11" ht="14.25" customHeight="1" outlineLevel="1" x14ac:dyDescent="0.35">
      <c r="B17" s="24" t="str">
        <f>INDEX(Base!$H$3:$H$980,MATCH($K17,Base!$B$3:$B$980,0))</f>
        <v xml:space="preserve"> CHICKEN JR CLEAN BK CX 9,88KG </v>
      </c>
      <c r="C17" s="25" t="str">
        <f>IFERROR(IF(INDEX(Base!$I$3:$I$980,MATCH($K17,Base!$B$3:$B$980,0))="","",INDEX(Base!$I$3:$I$980,MATCH($K17,Base!$B$3:$B$980,0))),"sem fornecedor")</f>
        <v>SEARA</v>
      </c>
      <c r="D17" s="26">
        <f>INDEX(Base!$E$3:$E$980,MATCH($K17,Base!$B$3:$B$980,0))</f>
        <v>201010000218</v>
      </c>
      <c r="E17" s="27">
        <f>IFERROR(INDEX(Base!$K$3:$K$980,MATCH($K17,Base!$B$3:$B$980,0)),"sem estoque")</f>
        <v>1202</v>
      </c>
      <c r="F17" s="27">
        <f>INDEX(Base!$L$3:$L$980,MATCH($K17,Base!$B$3:$B$980,0))</f>
        <v>64.2740516046983</v>
      </c>
      <c r="G17" s="28">
        <f>INDEX(Base!$M$3:$M$980,MATCH($K17,Base!$B$3:$B$980,0))</f>
        <v>18.701170534457738</v>
      </c>
      <c r="H17" s="28">
        <f>INDEX(Base!$N$3:$N$980,MATCH($K17,Base!$B$3:$B$980,0))</f>
        <v>15</v>
      </c>
      <c r="I17" s="28">
        <f>INDEX(Base!$O$3:$O$980,MATCH($K17,Base!$B$3:$B$980,0))</f>
        <v>15</v>
      </c>
      <c r="J17" s="29"/>
      <c r="K17" s="30" t="s">
        <v>144</v>
      </c>
    </row>
    <row r="18" spans="2:11" ht="14.25" customHeight="1" outlineLevel="1" x14ac:dyDescent="0.35">
      <c r="B18" s="24" t="str">
        <f>INDEX(Base!$H$3:$H$980,MATCH($K18,Base!$B$3:$B$980,0))</f>
        <v xml:space="preserve"> CARNE CONG MOIDA WHOPPER BK CX 17,2KG </v>
      </c>
      <c r="C18" s="25" t="str">
        <f>IFERROR(IF(INDEX(Base!$I$3:$I$980,MATCH($K18,Base!$B$3:$B$980,0))="","",INDEX(Base!$I$3:$I$980,MATCH($K18,Base!$B$3:$B$980,0))),"sem fornecedor")</f>
        <v>JBS</v>
      </c>
      <c r="D18" s="26">
        <f>INDEX(Base!$E$3:$E$980,MATCH($K18,Base!$B$3:$B$980,0))</f>
        <v>201010000209</v>
      </c>
      <c r="E18" s="27">
        <f>IFERROR(INDEX(Base!$K$3:$K$980,MATCH($K18,Base!$B$3:$B$980,0)),"sem estoque")</f>
        <v>1769</v>
      </c>
      <c r="F18" s="27">
        <f>INDEX(Base!$L$3:$L$980,MATCH($K18,Base!$B$3:$B$980,0))</f>
        <v>122.477914890294</v>
      </c>
      <c r="G18" s="28">
        <f>INDEX(Base!$M$3:$M$980,MATCH($K18,Base!$B$3:$B$980,0))</f>
        <v>14.443420281807784</v>
      </c>
      <c r="H18" s="28">
        <f>INDEX(Base!$N$3:$N$980,MATCH($K18,Base!$B$3:$B$980,0))</f>
        <v>7</v>
      </c>
      <c r="I18" s="28">
        <f>INDEX(Base!$O$3:$O$980,MATCH($K18,Base!$B$3:$B$980,0))</f>
        <v>7</v>
      </c>
      <c r="J18" s="29"/>
      <c r="K18" s="30" t="s">
        <v>145</v>
      </c>
    </row>
    <row r="19" spans="2:11" ht="14.25" customHeight="1" outlineLevel="1" x14ac:dyDescent="0.35">
      <c r="B19" s="24" t="str">
        <f>INDEX(Base!$H$3:$H$980,MATCH($K19,Base!$B$3:$B$980,0))</f>
        <v xml:space="preserve"> CARNE HB CONG BKC CX COM 18,7 KG </v>
      </c>
      <c r="C19" s="25" t="str">
        <f>IFERROR(IF(INDEX(Base!$I$3:$I$980,MATCH($K19,Base!$B$3:$B$980,0))="","",INDEX(Base!$I$3:$I$980,MATCH($K19,Base!$B$3:$B$980,0))),"sem fornecedor")</f>
        <v>JBS</v>
      </c>
      <c r="D19" s="26">
        <f>INDEX(Base!$E$3:$E$980,MATCH($K19,Base!$B$3:$B$980,0))</f>
        <v>201010000645</v>
      </c>
      <c r="E19" s="27">
        <f>IFERROR(INDEX(Base!$K$3:$K$980,MATCH($K19,Base!$B$3:$B$980,0)),"sem estoque")</f>
        <v>2623</v>
      </c>
      <c r="F19" s="27">
        <f>INDEX(Base!$L$3:$L$980,MATCH($K19,Base!$B$3:$B$980,0))</f>
        <v>192.93754475203801</v>
      </c>
      <c r="G19" s="28">
        <f>INDEX(Base!$M$3:$M$980,MATCH($K19,Base!$B$3:$B$980,0))</f>
        <v>13.595072972298167</v>
      </c>
      <c r="H19" s="28">
        <f>INDEX(Base!$N$3:$N$980,MATCH($K19,Base!$B$3:$B$980,0))</f>
        <v>7</v>
      </c>
      <c r="I19" s="28">
        <f>INDEX(Base!$O$3:$O$980,MATCH($K19,Base!$B$3:$B$980,0))</f>
        <v>7</v>
      </c>
      <c r="J19" s="29"/>
      <c r="K19" s="30" t="s">
        <v>146</v>
      </c>
    </row>
    <row r="20" spans="2:11" ht="14.25" customHeight="1" outlineLevel="1" x14ac:dyDescent="0.35">
      <c r="B20" s="24" t="str">
        <f>INDEX(Base!$H$3:$H$980,MATCH($K20,Base!$B$3:$B$980,0))</f>
        <v xml:space="preserve"> CHICKEN NUGGETS CX COM 12 KG </v>
      </c>
      <c r="C20" s="25" t="str">
        <f>IFERROR(IF(INDEX(Base!$I$3:$I$980,MATCH($K20,Base!$B$3:$B$980,0))="","",INDEX(Base!$I$3:$I$980,MATCH($K20,Base!$B$3:$B$980,0))),"sem fornecedor")</f>
        <v>SEARA</v>
      </c>
      <c r="D20" s="26">
        <f>INDEX(Base!$E$3:$E$980,MATCH($K20,Base!$B$3:$B$980,0))</f>
        <v>201010000565</v>
      </c>
      <c r="E20" s="27">
        <f>IFERROR(INDEX(Base!$K$3:$K$980,MATCH($K20,Base!$B$3:$B$980,0)),"sem estoque")</f>
        <v>532</v>
      </c>
      <c r="F20" s="27">
        <f>INDEX(Base!$L$3:$L$980,MATCH($K20,Base!$B$3:$B$980,0))</f>
        <v>33.063610022940402</v>
      </c>
      <c r="G20" s="28">
        <f>INDEX(Base!$M$3:$M$980,MATCH($K20,Base!$B$3:$B$980,0))</f>
        <v>16.090197036285041</v>
      </c>
      <c r="H20" s="28">
        <f>INDEX(Base!$N$3:$N$980,MATCH($K20,Base!$B$3:$B$980,0))</f>
        <v>24</v>
      </c>
      <c r="I20" s="28">
        <f>INDEX(Base!$O$3:$O$980,MATCH($K20,Base!$B$3:$B$980,0))</f>
        <v>16.090197036285041</v>
      </c>
      <c r="J20" s="29"/>
      <c r="K20" s="30" t="s">
        <v>147</v>
      </c>
    </row>
    <row r="21" spans="2:11" ht="14.25" customHeight="1" outlineLevel="1" x14ac:dyDescent="0.35">
      <c r="B21" s="24" t="str">
        <f>INDEX(Base!$H$3:$H$980,MATCH($K21,Base!$B$3:$B$980,0))</f>
        <v xml:space="preserve"> BACON PRONTO CONG 1187 UND CX 4KG DIS </v>
      </c>
      <c r="C21" s="25" t="str">
        <f>IFERROR(IF(INDEX(Base!$I$3:$I$980,MATCH($K21,Base!$B$3:$B$980,0))="","",INDEX(Base!$I$3:$I$980,MATCH($K21,Base!$B$3:$B$980,0))),"sem fornecedor")</f>
        <v>SEARA2</v>
      </c>
      <c r="D21" s="26">
        <f>INDEX(Base!$E$3:$E$980,MATCH($K21,Base!$B$3:$B$980,0))</f>
        <v>201010000684</v>
      </c>
      <c r="E21" s="27">
        <f>IFERROR(INDEX(Base!$K$3:$K$980,MATCH($K21,Base!$B$3:$B$980,0)),"sem estoque")</f>
        <v>504</v>
      </c>
      <c r="F21" s="27">
        <f>INDEX(Base!$L$3:$L$980,MATCH($K21,Base!$B$3:$B$980,0))</f>
        <v>31.516888634903001</v>
      </c>
      <c r="G21" s="28">
        <f>INDEX(Base!$M$3:$M$980,MATCH($K21,Base!$B$3:$B$980,0))</f>
        <v>15.991426242559085</v>
      </c>
      <c r="H21" s="28">
        <f>INDEX(Base!$N$3:$N$980,MATCH($K21,Base!$B$3:$B$980,0))</f>
        <v>15</v>
      </c>
      <c r="I21" s="28">
        <f>INDEX(Base!$O$3:$O$980,MATCH($K21,Base!$B$3:$B$980,0))</f>
        <v>15</v>
      </c>
      <c r="J21" s="29"/>
      <c r="K21" s="30" t="s">
        <v>148</v>
      </c>
    </row>
    <row r="22" spans="2:11" ht="14.25" customHeight="1" outlineLevel="1" x14ac:dyDescent="0.35">
      <c r="B22" s="24" t="str">
        <f>INDEX(Base!$H$3:$H$980,MATCH($K22,Base!$B$3:$B$980,0))</f>
        <v xml:space="preserve"> BACON BK ASS CUBOS CX 2X1KG </v>
      </c>
      <c r="C22" s="25" t="str">
        <f>IFERROR(IF(INDEX(Base!$I$3:$I$980,MATCH($K22,Base!$B$3:$B$980,0))="","",INDEX(Base!$I$3:$I$980,MATCH($K22,Base!$B$3:$B$980,0))),"sem fornecedor")</f>
        <v>MINERVA</v>
      </c>
      <c r="D22" s="26">
        <f>INDEX(Base!$E$3:$E$980,MATCH($K22,Base!$B$3:$B$980,0))</f>
        <v>201010000402</v>
      </c>
      <c r="E22" s="27">
        <f>IFERROR(INDEX(Base!$K$3:$K$980,MATCH($K22,Base!$B$3:$B$980,0)),"sem estoque")</f>
        <v>200</v>
      </c>
      <c r="F22" s="27">
        <f>INDEX(Base!$L$3:$L$980,MATCH($K22,Base!$B$3:$B$980,0))</f>
        <v>7.5029318712590198</v>
      </c>
      <c r="G22" s="28">
        <f>INDEX(Base!$M$3:$M$980,MATCH($K22,Base!$B$3:$B$980,0))</f>
        <v>26.656246309009767</v>
      </c>
      <c r="H22" s="28">
        <f>INDEX(Base!$N$3:$N$980,MATCH($K22,Base!$B$3:$B$980,0))</f>
        <v>15</v>
      </c>
      <c r="I22" s="28">
        <f>INDEX(Base!$O$3:$O$980,MATCH($K22,Base!$B$3:$B$980,0))</f>
        <v>15</v>
      </c>
      <c r="J22" s="29"/>
      <c r="K22" s="30" t="s">
        <v>149</v>
      </c>
    </row>
    <row r="23" spans="2:11" ht="14.25" customHeight="1" outlineLevel="1" x14ac:dyDescent="0.35">
      <c r="B23" s="24" t="str">
        <f>INDEX(Base!$H$3:$H$980,MATCH($K23,Base!$B$3:$B$980,0))</f>
        <v xml:space="preserve"> TENDER CRISPY FILE NOVO BK CX 4X2,5 KG </v>
      </c>
      <c r="C23" s="25" t="str">
        <f>IFERROR(IF(INDEX(Base!$I$3:$I$980,MATCH($K23,Base!$B$3:$B$980,0))="","",INDEX(Base!$I$3:$I$980,MATCH($K23,Base!$B$3:$B$980,0))),"sem fornecedor")</f>
        <v>BRF</v>
      </c>
      <c r="D23" s="26">
        <f>INDEX(Base!$E$3:$E$980,MATCH($K23,Base!$B$3:$B$980,0))</f>
        <v>201010000539</v>
      </c>
      <c r="E23" s="27">
        <f>IFERROR(INDEX(Base!$K$3:$K$980,MATCH($K23,Base!$B$3:$B$980,0)),"sem estoque")</f>
        <v>88</v>
      </c>
      <c r="F23" s="27">
        <f>INDEX(Base!$L$3:$L$980,MATCH($K23,Base!$B$3:$B$980,0))</f>
        <v>5.8456294767821904</v>
      </c>
      <c r="G23" s="28">
        <f>INDEX(Base!$M$3:$M$980,MATCH($K23,Base!$B$3:$B$980,0))</f>
        <v>15.053981842249922</v>
      </c>
      <c r="H23" s="28">
        <f>INDEX(Base!$N$3:$N$980,MATCH($K23,Base!$B$3:$B$980,0))</f>
        <v>18</v>
      </c>
      <c r="I23" s="28">
        <f>INDEX(Base!$O$3:$O$980,MATCH($K23,Base!$B$3:$B$980,0))</f>
        <v>15.053981842249922</v>
      </c>
      <c r="J23" s="29"/>
      <c r="K23" s="30" t="s">
        <v>150</v>
      </c>
    </row>
    <row r="24" spans="2:11" ht="14.25" customHeight="1" outlineLevel="1" x14ac:dyDescent="0.35">
      <c r="B24" s="24" t="str">
        <f>INDEX(Base!$H$3:$H$980,MATCH($K24,Base!$B$3:$B$980,0))</f>
        <v xml:space="preserve"> HAMBURGUER REBEL SABOR PICANHA CX 122 UND 12KG </v>
      </c>
      <c r="C24" s="25" t="str">
        <f>IFERROR(IF(INDEX(Base!$I$3:$I$980,MATCH($K24,Base!$B$3:$B$980,0))="","",INDEX(Base!$I$3:$I$980,MATCH($K24,Base!$B$3:$B$980,0))),"sem fornecedor")</f>
        <v>PLANTPLUS2</v>
      </c>
      <c r="D24" s="26">
        <f>INDEX(Base!$E$3:$E$980,MATCH($K24,Base!$B$3:$B$980,0))</f>
        <v>201010000654</v>
      </c>
      <c r="E24" s="27">
        <f>IFERROR(INDEX(Base!$K$3:$K$980,MATCH($K24,Base!$B$3:$B$980,0)),"sem estoque")</f>
        <v>83</v>
      </c>
      <c r="F24" s="27">
        <f>INDEX(Base!$L$3:$L$980,MATCH($K24,Base!$B$3:$B$980,0))</f>
        <v>2.7218898246887102</v>
      </c>
      <c r="G24" s="28">
        <f>INDEX(Base!$M$3:$M$980,MATCH($K24,Base!$B$3:$B$980,0))</f>
        <v>30.493519336144445</v>
      </c>
      <c r="H24" s="28">
        <f>INDEX(Base!$N$3:$N$980,MATCH($K24,Base!$B$3:$B$980,0))</f>
        <v>16</v>
      </c>
      <c r="I24" s="28">
        <f>INDEX(Base!$O$3:$O$980,MATCH($K24,Base!$B$3:$B$980,0))</f>
        <v>16</v>
      </c>
      <c r="J24" s="29"/>
      <c r="K24" s="30" t="s">
        <v>151</v>
      </c>
    </row>
    <row r="25" spans="2:11" ht="14.25" customHeight="1" x14ac:dyDescent="0.35">
      <c r="B25" s="19" t="s">
        <v>45</v>
      </c>
      <c r="C25" s="19"/>
      <c r="D25" s="20"/>
      <c r="E25" s="21">
        <f>SUMIFS(Base!$K$3:$K$980,Base!$J$3:$J$980,"Jpe",Base!$G$3:$G$980,$B25,Base!$K$3:$K$980,"&lt;&gt;#N/A")</f>
        <v>3631</v>
      </c>
      <c r="F25" s="21">
        <f>SUMIFS(Base!$L$3:$L$980,Base!$J$3:$J$980,"Jpe",Base!$G$3:$G$980,$B25)</f>
        <v>115.05127636801801</v>
      </c>
      <c r="G25" s="22">
        <f>IFERROR(E25/F25,0)</f>
        <v>31.559841095420882</v>
      </c>
      <c r="H25" s="22"/>
      <c r="I25" s="22">
        <f>IFERROR(SUMIFS(Base!$P$3:$P$980,Base!$J$3:$J$980,"Jpe",Base!$G$3:$G$980,$B25)/F25,0)</f>
        <v>12.350610916979999</v>
      </c>
      <c r="J25" s="23">
        <f>1+SUMPRODUCT(($K$6:$K$114="")*($I$6:$I$114&lt;I25))</f>
        <v>4</v>
      </c>
      <c r="K25" s="23"/>
    </row>
    <row r="26" spans="2:11" ht="14.25" customHeight="1" outlineLevel="1" x14ac:dyDescent="0.35">
      <c r="B26" s="24" t="str">
        <f>INDEX(Base!$H$3:$H$980,MATCH($K26,Base!$B$3:$B$980,0))</f>
        <v xml:space="preserve"> BEBIDA LACTEA UHT BAUNILHA BK 10 L X 2 UN </v>
      </c>
      <c r="C26" s="25" t="str">
        <f>IFERROR(IF(INDEX(Base!$I$3:$I$980,MATCH($K26,Base!$B$3:$B$980,0))="","",INDEX(Base!$I$3:$I$980,MATCH($K26,Base!$B$3:$B$980,0))),"sem fornecedor")</f>
        <v>POLENGHI2</v>
      </c>
      <c r="D26" s="26">
        <f>INDEX(Base!$E$3:$E$980,MATCH($K26,Base!$B$3:$B$980,0))</f>
        <v>241000000044</v>
      </c>
      <c r="E26" s="27">
        <f>IFERROR(INDEX(Base!$K$3:$K$980,MATCH($K26,Base!$B$3:$B$980,0)),"sem estoque")</f>
        <v>2049</v>
      </c>
      <c r="F26" s="27">
        <f>INDEX(Base!$L$3:$L$980,MATCH($K26,Base!$B$3:$B$980,0))</f>
        <v>5.0217348695018096</v>
      </c>
      <c r="G26" s="28">
        <f>INDEX(Base!$M$3:$M$980,MATCH($K26,Base!$B$3:$B$980,0))</f>
        <v>408.02632023527656</v>
      </c>
      <c r="H26" s="28">
        <f>INDEX(Base!$N$3:$N$980,MATCH($K26,Base!$B$3:$B$980,0))</f>
        <v>12.5</v>
      </c>
      <c r="I26" s="28">
        <f>INDEX(Base!$O$3:$O$980,MATCH($K26,Base!$B$3:$B$980,0))</f>
        <v>12.5</v>
      </c>
      <c r="J26" s="29"/>
      <c r="K26" s="30" t="s">
        <v>152</v>
      </c>
    </row>
    <row r="27" spans="2:11" ht="14.25" customHeight="1" outlineLevel="1" x14ac:dyDescent="0.35">
      <c r="B27" s="24" t="str">
        <f>INDEX(Base!$H$3:$H$980,MATCH($K27,Base!$B$3:$B$980,0))</f>
        <v xml:space="preserve"> QUEIJO CHEDDAR CLEAN NAC BK CX 17,66 KG </v>
      </c>
      <c r="C27" s="25" t="str">
        <f>IFERROR(IF(INDEX(Base!$I$3:$I$980,MATCH($K27,Base!$B$3:$B$980,0))="","",INDEX(Base!$I$3:$I$980,MATCH($K27,Base!$B$3:$B$980,0))),"sem fornecedor")</f>
        <v>POLENGHI I</v>
      </c>
      <c r="D27" s="26">
        <f>INDEX(Base!$E$3:$E$980,MATCH($K27,Base!$B$3:$B$980,0))</f>
        <v>201010000628</v>
      </c>
      <c r="E27" s="27">
        <f>IFERROR(INDEX(Base!$K$3:$K$980,MATCH($K27,Base!$B$3:$B$980,0)),"sem estoque")</f>
        <v>706</v>
      </c>
      <c r="F27" s="27">
        <f>INDEX(Base!$L$3:$L$980,MATCH($K27,Base!$B$3:$B$980,0))</f>
        <v>58.757952367533697</v>
      </c>
      <c r="G27" s="28">
        <f>INDEX(Base!$M$3:$M$980,MATCH($K27,Base!$B$3:$B$980,0))</f>
        <v>12.015394879384793</v>
      </c>
      <c r="H27" s="28">
        <f>INDEX(Base!$N$3:$N$980,MATCH($K27,Base!$B$3:$B$980,0))</f>
        <v>20</v>
      </c>
      <c r="I27" s="28">
        <f>INDEX(Base!$O$3:$O$980,MATCH($K27,Base!$B$3:$B$980,0))</f>
        <v>12.015394879384793</v>
      </c>
      <c r="J27" s="29"/>
      <c r="K27" s="30" t="s">
        <v>153</v>
      </c>
    </row>
    <row r="28" spans="2:11" ht="14.25" customHeight="1" outlineLevel="1" x14ac:dyDescent="0.35">
      <c r="B28" s="24" t="str">
        <f>INDEX(Base!$H$3:$H$980,MATCH($K28,Base!$B$3:$B$980,0))</f>
        <v xml:space="preserve"> BEBIDA LACTEA DOCE DE LEITE UHT BK CX10X2UN </v>
      </c>
      <c r="C28" s="25" t="str">
        <f>IFERROR(IF(INDEX(Base!$I$3:$I$980,MATCH($K28,Base!$B$3:$B$980,0))="","",INDEX(Base!$I$3:$I$980,MATCH($K28,Base!$B$3:$B$980,0))),"sem fornecedor")</f>
        <v>POLENGHI2</v>
      </c>
      <c r="D28" s="26">
        <f>INDEX(Base!$E$3:$E$980,MATCH($K28,Base!$B$3:$B$980,0))</f>
        <v>201010000527</v>
      </c>
      <c r="E28" s="27">
        <f>IFERROR(INDEX(Base!$K$3:$K$980,MATCH($K28,Base!$B$3:$B$980,0)),"sem estoque")</f>
        <v>641</v>
      </c>
      <c r="F28" s="27">
        <f>INDEX(Base!$L$3:$L$980,MATCH($K28,Base!$B$3:$B$980,0))</f>
        <v>30.9023603003373</v>
      </c>
      <c r="G28" s="28">
        <f>INDEX(Base!$M$3:$M$980,MATCH($K28,Base!$B$3:$B$980,0))</f>
        <v>20.742752131881765</v>
      </c>
      <c r="H28" s="28">
        <f>INDEX(Base!$N$3:$N$980,MATCH($K28,Base!$B$3:$B$980,0))</f>
        <v>13.5</v>
      </c>
      <c r="I28" s="28">
        <f>INDEX(Base!$O$3:$O$980,MATCH($K28,Base!$B$3:$B$980,0))</f>
        <v>13.5</v>
      </c>
      <c r="J28" s="29"/>
      <c r="K28" s="30" t="s">
        <v>154</v>
      </c>
    </row>
    <row r="29" spans="2:11" ht="14.25" customHeight="1" outlineLevel="1" x14ac:dyDescent="0.35">
      <c r="B29" s="24" t="str">
        <f>INDEX(Base!$H$3:$H$980,MATCH($K29,Base!$B$3:$B$980,0))</f>
        <v xml:space="preserve"> MOLHO CHEDDAR BNG 2KGX8UN </v>
      </c>
      <c r="C29" s="25" t="str">
        <f>IFERROR(IF(INDEX(Base!$I$3:$I$980,MATCH($K29,Base!$B$3:$B$980,0))="","",INDEX(Base!$I$3:$I$980,MATCH($K29,Base!$B$3:$B$980,0))),"sem fornecedor")</f>
        <v>POLENGHI</v>
      </c>
      <c r="D29" s="26">
        <f>INDEX(Base!$E$3:$E$980,MATCH($K29,Base!$B$3:$B$980,0))</f>
        <v>201010006004</v>
      </c>
      <c r="E29" s="27">
        <f>IFERROR(INDEX(Base!$K$3:$K$980,MATCH($K29,Base!$B$3:$B$980,0)),"sem estoque")</f>
        <v>235</v>
      </c>
      <c r="F29" s="27">
        <f>INDEX(Base!$L$3:$L$980,MATCH($K29,Base!$B$3:$B$980,0))</f>
        <v>20.369228830645199</v>
      </c>
      <c r="G29" s="28">
        <f>INDEX(Base!$M$3:$M$980,MATCH($K29,Base!$B$3:$B$980,0))</f>
        <v>11.537010161447352</v>
      </c>
      <c r="H29" s="28">
        <f>INDEX(Base!$N$3:$N$980,MATCH($K29,Base!$B$3:$B$980,0))</f>
        <v>26</v>
      </c>
      <c r="I29" s="28">
        <f>INDEX(Base!$O$3:$O$980,MATCH($K29,Base!$B$3:$B$980,0))</f>
        <v>11.537010161447352</v>
      </c>
      <c r="J29" s="29"/>
      <c r="K29" s="30" t="s">
        <v>155</v>
      </c>
    </row>
    <row r="30" spans="2:11" ht="14.25" customHeight="1" x14ac:dyDescent="0.35">
      <c r="B30" s="19" t="s">
        <v>50</v>
      </c>
      <c r="C30" s="19"/>
      <c r="D30" s="20"/>
      <c r="E30" s="21">
        <f>SUMIFS(Base!$K$3:$K$980,Base!$J$3:$J$980,"Jpe",Base!$G$3:$G$980,$B30,Base!$K$3:$K$980,"&lt;&gt;#N/A")</f>
        <v>2710</v>
      </c>
      <c r="F30" s="21">
        <f>SUMIFS(Base!$L$3:$L$980,Base!$J$3:$J$980,"Jpe",Base!$G$3:$G$980,$B30)</f>
        <v>187.68709440278116</v>
      </c>
      <c r="G30" s="22">
        <f>IFERROR(E30/F30,0)</f>
        <v>14.438925641761351</v>
      </c>
      <c r="H30" s="22"/>
      <c r="I30" s="22">
        <f>IFERROR(SUMIFS(Base!$P$3:$P$980,Base!$J$3:$J$980,"Jpe",Base!$G$3:$G$980,$B30)/F30,0)</f>
        <v>13.415925120850634</v>
      </c>
      <c r="J30" s="23">
        <f>1+SUMPRODUCT(($K$6:$K$114="")*($I$6:$I$114&lt;I30))</f>
        <v>6</v>
      </c>
      <c r="K30" s="23"/>
    </row>
    <row r="31" spans="2:11" ht="14.25" customHeight="1" outlineLevel="1" x14ac:dyDescent="0.35">
      <c r="B31" s="24" t="str">
        <f>INDEX(Base!$H$3:$H$980,MATCH($K31,Base!$B$3:$B$980,0))</f>
        <v xml:space="preserve"> MAIONESE BAG CX6X3KG </v>
      </c>
      <c r="C31" s="25" t="str">
        <f>IFERROR(IF(INDEX(Base!$I$3:$I$980,MATCH($K31,Base!$B$3:$B$980,0))="","",INDEX(Base!$I$3:$I$980,MATCH($K31,Base!$B$3:$B$980,0))),"sem fornecedor")</f>
        <v>KERRY</v>
      </c>
      <c r="D31" s="26">
        <f>INDEX(Base!$E$3:$E$980,MATCH($K31,Base!$B$3:$B$980,0))</f>
        <v>201010000317</v>
      </c>
      <c r="E31" s="27">
        <f>IFERROR(INDEX(Base!$K$3:$K$980,MATCH($K31,Base!$B$3:$B$980,0)),"sem estoque")</f>
        <v>349</v>
      </c>
      <c r="F31" s="27">
        <f>INDEX(Base!$L$3:$L$980,MATCH($K31,Base!$B$3:$B$980,0))</f>
        <v>36.106836917851602</v>
      </c>
      <c r="G31" s="28">
        <f>INDEX(Base!$M$3:$M$980,MATCH($K31,Base!$B$3:$B$980,0))</f>
        <v>9.6657594458918314</v>
      </c>
      <c r="H31" s="28">
        <f>INDEX(Base!$N$3:$N$980,MATCH($K31,Base!$B$3:$B$980,0))</f>
        <v>18</v>
      </c>
      <c r="I31" s="28">
        <f>INDEX(Base!$O$3:$O$980,MATCH($K31,Base!$B$3:$B$980,0))</f>
        <v>9.6657594458918314</v>
      </c>
      <c r="J31" s="29"/>
      <c r="K31" s="30" t="s">
        <v>156</v>
      </c>
    </row>
    <row r="32" spans="2:11" ht="14.25" customHeight="1" outlineLevel="1" x14ac:dyDescent="0.35">
      <c r="B32" s="24" t="str">
        <f>INDEX(Base!$H$3:$H$980,MATCH($K32,Base!$B$3:$B$980,0))</f>
        <v xml:space="preserve"> SACHE KETCHUP BK HEINZ CX 1500X7GR </v>
      </c>
      <c r="C32" s="25" t="str">
        <f>IFERROR(IF(INDEX(Base!$I$3:$I$980,MATCH($K32,Base!$B$3:$B$980,0))="","",INDEX(Base!$I$3:$I$980,MATCH($K32,Base!$B$3:$B$980,0))),"sem fornecedor")</f>
        <v>HEINZ</v>
      </c>
      <c r="D32" s="26">
        <f>INDEX(Base!$E$3:$E$980,MATCH($K32,Base!$B$3:$B$980,0))</f>
        <v>201010000417</v>
      </c>
      <c r="E32" s="27">
        <f>IFERROR(INDEX(Base!$K$3:$K$980,MATCH($K32,Base!$B$3:$B$980,0)),"sem estoque")</f>
        <v>365</v>
      </c>
      <c r="F32" s="27">
        <f>INDEX(Base!$L$3:$L$980,MATCH($K32,Base!$B$3:$B$980,0))</f>
        <v>34.7545465874923</v>
      </c>
      <c r="G32" s="28">
        <f>INDEX(Base!$M$3:$M$980,MATCH($K32,Base!$B$3:$B$980,0))</f>
        <v>10.502223042419395</v>
      </c>
      <c r="H32" s="28">
        <f>INDEX(Base!$N$3:$N$980,MATCH($K32,Base!$B$3:$B$980,0))</f>
        <v>14</v>
      </c>
      <c r="I32" s="28">
        <f>INDEX(Base!$O$3:$O$980,MATCH($K32,Base!$B$3:$B$980,0))</f>
        <v>10.502223042419395</v>
      </c>
      <c r="J32" s="29"/>
      <c r="K32" s="30" t="s">
        <v>157</v>
      </c>
    </row>
    <row r="33" spans="2:11" ht="14.25" customHeight="1" outlineLevel="1" x14ac:dyDescent="0.35">
      <c r="B33" s="24" t="str">
        <f>INDEX(Base!$H$3:$H$980,MATCH($K33,Base!$B$3:$B$980,0))</f>
        <v xml:space="preserve"> MOLHO STACKER BAG CL BK CX5X1,1KG </v>
      </c>
      <c r="C33" s="25" t="str">
        <f>IFERROR(IF(INDEX(Base!$I$3:$I$980,MATCH($K33,Base!$B$3:$B$980,0))="","",INDEX(Base!$I$3:$I$980,MATCH($K33,Base!$B$3:$B$980,0))),"sem fornecedor")</f>
        <v>KERRY</v>
      </c>
      <c r="D33" s="26">
        <f>INDEX(Base!$E$3:$E$980,MATCH($K33,Base!$B$3:$B$980,0))</f>
        <v>201010000482</v>
      </c>
      <c r="E33" s="27">
        <f>IFERROR(INDEX(Base!$K$3:$K$980,MATCH($K33,Base!$B$3:$B$980,0)),"sem estoque")</f>
        <v>695</v>
      </c>
      <c r="F33" s="27">
        <f>INDEX(Base!$L$3:$L$980,MATCH($K33,Base!$B$3:$B$980,0))</f>
        <v>36.2973037292588</v>
      </c>
      <c r="G33" s="28">
        <f>INDEX(Base!$M$3:$M$980,MATCH($K33,Base!$B$3:$B$980,0))</f>
        <v>19.147427731381857</v>
      </c>
      <c r="H33" s="28">
        <f>INDEX(Base!$N$3:$N$980,MATCH($K33,Base!$B$3:$B$980,0))</f>
        <v>19</v>
      </c>
      <c r="I33" s="28">
        <f>INDEX(Base!$O$3:$O$980,MATCH($K33,Base!$B$3:$B$980,0))</f>
        <v>19</v>
      </c>
      <c r="J33" s="29"/>
      <c r="K33" s="30" t="s">
        <v>158</v>
      </c>
    </row>
    <row r="34" spans="2:11" ht="14.25" customHeight="1" outlineLevel="1" x14ac:dyDescent="0.35">
      <c r="B34" s="24" t="str">
        <f>INDEX(Base!$H$3:$H$980,MATCH($K34,Base!$B$3:$B$980,0))</f>
        <v xml:space="preserve"> MOLHO BARBECUE BAG MP BK CX COM 5,5 KG </v>
      </c>
      <c r="C34" s="25" t="str">
        <f>IFERROR(IF(INDEX(Base!$I$3:$I$980,MATCH($K34,Base!$B$3:$B$980,0))="","",INDEX(Base!$I$3:$I$980,MATCH($K34,Base!$B$3:$B$980,0))),"sem fornecedor")</f>
        <v>MECANOPACK</v>
      </c>
      <c r="D34" s="26">
        <f>INDEX(Base!$E$3:$E$980,MATCH($K34,Base!$B$3:$B$980,0))</f>
        <v>201010000322</v>
      </c>
      <c r="E34" s="27">
        <f>IFERROR(INDEX(Base!$K$3:$K$980,MATCH($K34,Base!$B$3:$B$980,0)),"sem estoque")</f>
        <v>569</v>
      </c>
      <c r="F34" s="27">
        <f>INDEX(Base!$L$3:$L$980,MATCH($K34,Base!$B$3:$B$980,0))</f>
        <v>36.4812609970311</v>
      </c>
      <c r="G34" s="28">
        <f>INDEX(Base!$M$3:$M$980,MATCH($K34,Base!$B$3:$B$980,0))</f>
        <v>15.597048579167975</v>
      </c>
      <c r="H34" s="28">
        <f>INDEX(Base!$N$3:$N$980,MATCH($K34,Base!$B$3:$B$980,0))</f>
        <v>22</v>
      </c>
      <c r="I34" s="28">
        <f>INDEX(Base!$O$3:$O$980,MATCH($K34,Base!$B$3:$B$980,0))</f>
        <v>15.597048579167975</v>
      </c>
      <c r="J34" s="29"/>
      <c r="K34" s="30" t="s">
        <v>159</v>
      </c>
    </row>
    <row r="35" spans="2:11" ht="14.25" customHeight="1" outlineLevel="1" x14ac:dyDescent="0.35">
      <c r="B35" s="24" t="str">
        <f>INDEX(Base!$H$3:$H$980,MATCH($K35,Base!$B$3:$B$980,0))</f>
        <v xml:space="preserve"> MAIONESE GRANEL SABOR BACON CX5,5KG </v>
      </c>
      <c r="C35" s="25" t="str">
        <f>IFERROR(IF(INDEX(Base!$I$3:$I$980,MATCH($K35,Base!$B$3:$B$980,0))="","",INDEX(Base!$I$3:$I$980,MATCH($K35,Base!$B$3:$B$980,0))),"sem fornecedor")</f>
        <v>KERRY</v>
      </c>
      <c r="D35" s="26">
        <f>INDEX(Base!$E$3:$E$980,MATCH($K35,Base!$B$3:$B$980,0))</f>
        <v>201010000406</v>
      </c>
      <c r="E35" s="27">
        <f>IFERROR(INDEX(Base!$K$3:$K$980,MATCH($K35,Base!$B$3:$B$980,0)),"sem estoque")</f>
        <v>-4</v>
      </c>
      <c r="F35" s="27">
        <f>INDEX(Base!$L$3:$L$980,MATCH($K35,Base!$B$3:$B$980,0))</f>
        <v>9.0680938416331802</v>
      </c>
      <c r="G35" s="28">
        <f>INDEX(Base!$M$3:$M$980,MATCH($K35,Base!$B$3:$B$980,0))</f>
        <v>-0.44110703636913318</v>
      </c>
      <c r="H35" s="28">
        <f>INDEX(Base!$N$3:$N$980,MATCH($K35,Base!$B$3:$B$980,0))</f>
        <v>36</v>
      </c>
      <c r="I35" s="28">
        <f>INDEX(Base!$O$3:$O$980,MATCH($K35,Base!$B$3:$B$980,0))</f>
        <v>-0.44110703636913318</v>
      </c>
      <c r="J35" s="29"/>
      <c r="K35" s="30" t="s">
        <v>160</v>
      </c>
    </row>
    <row r="36" spans="2:11" ht="14.25" customHeight="1" outlineLevel="1" x14ac:dyDescent="0.35">
      <c r="B36" s="24" t="str">
        <f>INDEX(Base!$H$3:$H$980,MATCH($K36,Base!$B$3:$B$980,0))</f>
        <v xml:space="preserve"> KETCHUP A GRANEL BK HEINZ CX 8X2KG </v>
      </c>
      <c r="C36" s="25" t="str">
        <f>IFERROR(IF(INDEX(Base!$I$3:$I$980,MATCH($K36,Base!$B$3:$B$980,0))="","",INDEX(Base!$I$3:$I$980,MATCH($K36,Base!$B$3:$B$980,0))),"sem fornecedor")</f>
        <v>HEINZ</v>
      </c>
      <c r="D36" s="26">
        <f>INDEX(Base!$E$3:$E$980,MATCH($K36,Base!$B$3:$B$980,0))</f>
        <v>201010000567</v>
      </c>
      <c r="E36" s="27">
        <f>IFERROR(INDEX(Base!$K$3:$K$980,MATCH($K36,Base!$B$3:$B$980,0)),"sem estoque")</f>
        <v>123</v>
      </c>
      <c r="F36" s="27">
        <f>INDEX(Base!$L$3:$L$980,MATCH($K36,Base!$B$3:$B$980,0))</f>
        <v>8.8683887650122593</v>
      </c>
      <c r="G36" s="28">
        <f>INDEX(Base!$M$3:$M$980,MATCH($K36,Base!$B$3:$B$980,0))</f>
        <v>13.869486696981756</v>
      </c>
      <c r="H36" s="28">
        <f>INDEX(Base!$N$3:$N$980,MATCH($K36,Base!$B$3:$B$980,0))</f>
        <v>17</v>
      </c>
      <c r="I36" s="28">
        <f>INDEX(Base!$O$3:$O$980,MATCH($K36,Base!$B$3:$B$980,0))</f>
        <v>13.869486696981756</v>
      </c>
      <c r="J36" s="29"/>
      <c r="K36" s="30" t="s">
        <v>161</v>
      </c>
    </row>
    <row r="37" spans="2:11" ht="14.25" customHeight="1" outlineLevel="1" x14ac:dyDescent="0.35">
      <c r="B37" s="24" t="str">
        <f>INDEX(Base!$H$3:$H$980,MATCH($K37,Base!$B$3:$B$980,0))</f>
        <v xml:space="preserve"> MOSTARDA HEINZ BK SACHE 2304 5G </v>
      </c>
      <c r="C37" s="25" t="str">
        <f>IFERROR(IF(INDEX(Base!$I$3:$I$980,MATCH($K37,Base!$B$3:$B$980,0))="","",INDEX(Base!$I$3:$I$980,MATCH($K37,Base!$B$3:$B$980,0))),"sem fornecedor")</f>
        <v>HEINZ</v>
      </c>
      <c r="D37" s="26">
        <f>INDEX(Base!$E$3:$E$980,MATCH($K37,Base!$B$3:$B$980,0))</f>
        <v>201010000616</v>
      </c>
      <c r="E37" s="27">
        <f>IFERROR(INDEX(Base!$K$3:$K$980,MATCH($K37,Base!$B$3:$B$980,0)),"sem estoque")</f>
        <v>126</v>
      </c>
      <c r="F37" s="27">
        <f>INDEX(Base!$L$3:$L$980,MATCH($K37,Base!$B$3:$B$980,0))</f>
        <v>9.33048784670126</v>
      </c>
      <c r="G37" s="28">
        <f>INDEX(Base!$M$3:$M$980,MATCH($K37,Base!$B$3:$B$980,0))</f>
        <v>13.504117048343465</v>
      </c>
      <c r="H37" s="28">
        <f>INDEX(Base!$N$3:$N$980,MATCH($K37,Base!$B$3:$B$980,0))</f>
        <v>14</v>
      </c>
      <c r="I37" s="28">
        <f>INDEX(Base!$O$3:$O$980,MATCH($K37,Base!$B$3:$B$980,0))</f>
        <v>13.504117048343465</v>
      </c>
      <c r="J37" s="29"/>
      <c r="K37" s="30" t="s">
        <v>162</v>
      </c>
    </row>
    <row r="38" spans="2:11" ht="14.25" customHeight="1" outlineLevel="1" x14ac:dyDescent="0.35">
      <c r="B38" s="24" t="str">
        <f>INDEX(Base!$H$3:$H$980,MATCH($K38,Base!$B$3:$B$980,0))</f>
        <v xml:space="preserve"> MOLHO FURIOSO NCM BK 5.5KG CLEAN </v>
      </c>
      <c r="C38" s="25" t="str">
        <f>IFERROR(IF(INDEX(Base!$I$3:$I$980,MATCH($K38,Base!$B$3:$B$980,0))="","",INDEX(Base!$I$3:$I$980,MATCH($K38,Base!$B$3:$B$980,0))),"sem fornecedor")</f>
        <v>KERRY</v>
      </c>
      <c r="D38" s="26">
        <f>INDEX(Base!$E$3:$E$980,MATCH($K38,Base!$B$3:$B$980,0))</f>
        <v>201010000324</v>
      </c>
      <c r="E38" s="27">
        <f>IFERROR(INDEX(Base!$K$3:$K$980,MATCH($K38,Base!$B$3:$B$980,0)),"sem estoque")</f>
        <v>129</v>
      </c>
      <c r="F38" s="27">
        <f>INDEX(Base!$L$3:$L$980,MATCH($K38,Base!$B$3:$B$980,0))</f>
        <v>6.8119352422569603</v>
      </c>
      <c r="G38" s="28">
        <f>INDEX(Base!$M$3:$M$980,MATCH($K38,Base!$B$3:$B$980,0))</f>
        <v>18.937349726956469</v>
      </c>
      <c r="H38" s="28">
        <f>INDEX(Base!$N$3:$N$980,MATCH($K38,Base!$B$3:$B$980,0))</f>
        <v>22</v>
      </c>
      <c r="I38" s="28">
        <f>INDEX(Base!$O$3:$O$980,MATCH($K38,Base!$B$3:$B$980,0))</f>
        <v>18.937349726956469</v>
      </c>
      <c r="J38" s="29"/>
      <c r="K38" s="30" t="s">
        <v>163</v>
      </c>
    </row>
    <row r="39" spans="2:11" ht="14.25" customHeight="1" outlineLevel="1" x14ac:dyDescent="0.35">
      <c r="B39" s="24" t="str">
        <f>INDEX(Base!$H$3:$H$980,MATCH($K39,Base!$B$3:$B$980,0))</f>
        <v xml:space="preserve"> MAIONESE SACHET SABOR BACON CX C/304 UND </v>
      </c>
      <c r="C39" s="25" t="str">
        <f>IFERROR(IF(INDEX(Base!$I$3:$I$980,MATCH($K39,Base!$B$3:$B$980,0))="","",INDEX(Base!$I$3:$I$980,MATCH($K39,Base!$B$3:$B$980,0))),"sem fornecedor")</f>
        <v>KERRY</v>
      </c>
      <c r="D39" s="26">
        <f>INDEX(Base!$E$3:$E$980,MATCH($K39,Base!$B$3:$B$980,0))</f>
        <v>201010000455</v>
      </c>
      <c r="E39" s="27">
        <f>IFERROR(INDEX(Base!$K$3:$K$980,MATCH($K39,Base!$B$3:$B$980,0)),"sem estoque")</f>
        <v>2</v>
      </c>
      <c r="F39" s="27">
        <f>INDEX(Base!$L$3:$L$980,MATCH($K39,Base!$B$3:$B$980,0))</f>
        <v>2.50496126839663</v>
      </c>
      <c r="G39" s="28">
        <f>INDEX(Base!$M$3:$M$980,MATCH($K39,Base!$B$3:$B$980,0))</f>
        <v>0.79841553848860725</v>
      </c>
      <c r="H39" s="28">
        <f>INDEX(Base!$N$3:$N$980,MATCH($K39,Base!$B$3:$B$980,0))</f>
        <v>20</v>
      </c>
      <c r="I39" s="28">
        <f>INDEX(Base!$O$3:$O$980,MATCH($K39,Base!$B$3:$B$980,0))</f>
        <v>0.79841553848860725</v>
      </c>
      <c r="J39" s="29"/>
      <c r="K39" s="30" t="s">
        <v>164</v>
      </c>
    </row>
    <row r="40" spans="2:11" ht="14.25" customHeight="1" outlineLevel="1" x14ac:dyDescent="0.35">
      <c r="B40" s="24" t="str">
        <f>INDEX(Base!$H$3:$H$980,MATCH($K40,Base!$B$3:$B$980,0))</f>
        <v xml:space="preserve"> MOLHO BARBECUE BLISTER BK MP CX COM 144 UND 28G </v>
      </c>
      <c r="C40" s="25" t="str">
        <f>IFERROR(IF(INDEX(Base!$I$3:$I$980,MATCH($K40,Base!$B$3:$B$980,0))="","",INDEX(Base!$I$3:$I$980,MATCH($K40,Base!$B$3:$B$980,0))),"sem fornecedor")</f>
        <v>MECANOPACK</v>
      </c>
      <c r="D40" s="26">
        <f>INDEX(Base!$E$3:$E$980,MATCH($K40,Base!$B$3:$B$980,0))</f>
        <v>201010000561</v>
      </c>
      <c r="E40" s="27">
        <f>IFERROR(INDEX(Base!$K$3:$K$980,MATCH($K40,Base!$B$3:$B$980,0)),"sem estoque")</f>
        <v>128</v>
      </c>
      <c r="F40" s="27">
        <f>INDEX(Base!$L$3:$L$980,MATCH($K40,Base!$B$3:$B$980,0))</f>
        <v>2.27524025147234</v>
      </c>
      <c r="G40" s="28">
        <f>INDEX(Base!$M$3:$M$980,MATCH($K40,Base!$B$3:$B$980,0))</f>
        <v>56.25779515687163</v>
      </c>
      <c r="H40" s="28">
        <f>INDEX(Base!$N$3:$N$980,MATCH($K40,Base!$B$3:$B$980,0))</f>
        <v>24</v>
      </c>
      <c r="I40" s="28">
        <f>INDEX(Base!$O$3:$O$980,MATCH($K40,Base!$B$3:$B$980,0))</f>
        <v>24</v>
      </c>
      <c r="J40" s="29"/>
      <c r="K40" s="30" t="s">
        <v>165</v>
      </c>
    </row>
    <row r="41" spans="2:11" ht="14.25" customHeight="1" outlineLevel="1" x14ac:dyDescent="0.35">
      <c r="B41" s="24" t="str">
        <f>INDEX(Base!$H$3:$H$980,MATCH($K41,Base!$B$3:$B$980,0))</f>
        <v xml:space="preserve"> MOLHO FURIOSO BK NCM CX 144 BLISTER 28G UND </v>
      </c>
      <c r="C41" s="25" t="str">
        <f>IFERROR(IF(INDEX(Base!$I$3:$I$980,MATCH($K41,Base!$B$3:$B$980,0))="","",INDEX(Base!$I$3:$I$980,MATCH($K41,Base!$B$3:$B$980,0))),"sem fornecedor")</f>
        <v>KERRY</v>
      </c>
      <c r="D41" s="26">
        <f>INDEX(Base!$E$3:$E$980,MATCH($K41,Base!$B$3:$B$980,0))</f>
        <v>201010000562</v>
      </c>
      <c r="E41" s="27">
        <f>IFERROR(INDEX(Base!$K$3:$K$980,MATCH($K41,Base!$B$3:$B$980,0)),"sem estoque")</f>
        <v>101</v>
      </c>
      <c r="F41" s="27">
        <f>INDEX(Base!$L$3:$L$980,MATCH($K41,Base!$B$3:$B$980,0))</f>
        <v>1.96239471689445</v>
      </c>
      <c r="G41" s="28">
        <f>INDEX(Base!$M$3:$M$980,MATCH($K41,Base!$B$3:$B$980,0))</f>
        <v>51.467729264903241</v>
      </c>
      <c r="H41" s="28">
        <f>INDEX(Base!$N$3:$N$980,MATCH($K41,Base!$B$3:$B$980,0))</f>
        <v>22</v>
      </c>
      <c r="I41" s="28">
        <f>INDEX(Base!$O$3:$O$980,MATCH($K41,Base!$B$3:$B$980,0))</f>
        <v>22</v>
      </c>
      <c r="J41" s="29"/>
      <c r="K41" s="30" t="s">
        <v>166</v>
      </c>
    </row>
    <row r="42" spans="2:11" ht="14.25" customHeight="1" outlineLevel="1" x14ac:dyDescent="0.35">
      <c r="B42" s="24" t="str">
        <f>INDEX(Base!$H$3:$H$980,MATCH($K42,Base!$B$3:$B$980,0))</f>
        <v xml:space="preserve"> MAIONESE VERDE SACHET CX COM 304 UND </v>
      </c>
      <c r="C42" s="25" t="str">
        <f>IFERROR(IF(INDEX(Base!$I$3:$I$980,MATCH($K42,Base!$B$3:$B$980,0))="","",INDEX(Base!$I$3:$I$980,MATCH($K42,Base!$B$3:$B$980,0))),"sem fornecedor")</f>
        <v>KERRY</v>
      </c>
      <c r="D42" s="26">
        <f>INDEX(Base!$E$3:$E$980,MATCH($K42,Base!$B$3:$B$980,0))</f>
        <v>201010000633</v>
      </c>
      <c r="E42" s="27">
        <f>IFERROR(INDEX(Base!$K$3:$K$980,MATCH($K42,Base!$B$3:$B$980,0)),"sem estoque")</f>
        <v>34</v>
      </c>
      <c r="F42" s="27">
        <f>INDEX(Base!$L$3:$L$980,MATCH($K42,Base!$B$3:$B$980,0))</f>
        <v>1.4306751838171301</v>
      </c>
      <c r="G42" s="28">
        <f>INDEX(Base!$M$3:$M$980,MATCH($K42,Base!$B$3:$B$980,0))</f>
        <v>23.765002975228725</v>
      </c>
      <c r="H42" s="28">
        <f>INDEX(Base!$N$3:$N$980,MATCH($K42,Base!$B$3:$B$980,0))</f>
        <v>23</v>
      </c>
      <c r="I42" s="28">
        <f>INDEX(Base!$O$3:$O$980,MATCH($K42,Base!$B$3:$B$980,0))</f>
        <v>23</v>
      </c>
      <c r="J42" s="29"/>
      <c r="K42" s="30" t="s">
        <v>167</v>
      </c>
    </row>
    <row r="43" spans="2:11" ht="14.25" customHeight="1" outlineLevel="1" x14ac:dyDescent="0.35">
      <c r="B43" s="24" t="str">
        <f>INDEX(Base!$H$3:$H$980,MATCH($K43,Base!$B$3:$B$980,0))</f>
        <v xml:space="preserve"> SACHET MAIONESE CLEAN BK CX 600UND </v>
      </c>
      <c r="C43" s="25" t="str">
        <f>IFERROR(IF(INDEX(Base!$I$3:$I$980,MATCH($K43,Base!$B$3:$B$980,0))="","",INDEX(Base!$I$3:$I$980,MATCH($K43,Base!$B$3:$B$980,0))),"sem fornecedor")</f>
        <v>KERRY</v>
      </c>
      <c r="D43" s="26">
        <f>INDEX(Base!$E$3:$E$980,MATCH($K43,Base!$B$3:$B$980,0))</f>
        <v>201010000376</v>
      </c>
      <c r="E43" s="27">
        <f>IFERROR(INDEX(Base!$K$3:$K$980,MATCH($K43,Base!$B$3:$B$980,0)),"sem estoque")</f>
        <v>51</v>
      </c>
      <c r="F43" s="27">
        <f>INDEX(Base!$L$3:$L$980,MATCH($K43,Base!$B$3:$B$980,0))</f>
        <v>0.55200031901298896</v>
      </c>
      <c r="G43" s="28">
        <f>INDEX(Base!$M$3:$M$980,MATCH($K43,Base!$B$3:$B$980,0))</f>
        <v>92.391250952882032</v>
      </c>
      <c r="H43" s="28">
        <f>INDEX(Base!$N$3:$N$980,MATCH($K43,Base!$B$3:$B$980,0))</f>
        <v>16</v>
      </c>
      <c r="I43" s="28">
        <f>INDEX(Base!$O$3:$O$980,MATCH($K43,Base!$B$3:$B$980,0))</f>
        <v>16</v>
      </c>
      <c r="J43" s="29"/>
      <c r="K43" s="30" t="s">
        <v>168</v>
      </c>
    </row>
    <row r="44" spans="2:11" ht="14.25" customHeight="1" outlineLevel="1" x14ac:dyDescent="0.35">
      <c r="B44" s="24" t="str">
        <f>INDEX(Base!$H$3:$H$980,MATCH($K44,Base!$B$3:$B$980,0))</f>
        <v xml:space="preserve"> MOSTARDA HEINZ BK BAG 8X2KG </v>
      </c>
      <c r="C44" s="25" t="str">
        <f>IFERROR(IF(INDEX(Base!$I$3:$I$980,MATCH($K44,Base!$B$3:$B$980,0))="","",INDEX(Base!$I$3:$I$980,MATCH($K44,Base!$B$3:$B$980,0))),"sem fornecedor")</f>
        <v>HEINZ</v>
      </c>
      <c r="D44" s="26">
        <f>INDEX(Base!$E$3:$E$980,MATCH($K44,Base!$B$3:$B$980,0))</f>
        <v>201010000617</v>
      </c>
      <c r="E44" s="27">
        <f>IFERROR(INDEX(Base!$K$3:$K$980,MATCH($K44,Base!$B$3:$B$980,0)),"sem estoque")</f>
        <v>42</v>
      </c>
      <c r="F44" s="27">
        <f>INDEX(Base!$L$3:$L$980,MATCH($K44,Base!$B$3:$B$980,0))</f>
        <v>1.24296873595014</v>
      </c>
      <c r="G44" s="28">
        <f>INDEX(Base!$M$3:$M$980,MATCH($K44,Base!$B$3:$B$980,0))</f>
        <v>33.790069520851382</v>
      </c>
      <c r="H44" s="28">
        <f>INDEX(Base!$N$3:$N$980,MATCH($K44,Base!$B$3:$B$980,0))</f>
        <v>24</v>
      </c>
      <c r="I44" s="28">
        <f>INDEX(Base!$O$3:$O$980,MATCH($K44,Base!$B$3:$B$980,0))</f>
        <v>24</v>
      </c>
      <c r="J44" s="29"/>
      <c r="K44" s="30" t="s">
        <v>169</v>
      </c>
    </row>
    <row r="45" spans="2:11" ht="14.25" customHeight="1" x14ac:dyDescent="0.35">
      <c r="B45" s="19" t="s">
        <v>65</v>
      </c>
      <c r="C45" s="19"/>
      <c r="D45" s="20"/>
      <c r="E45" s="21">
        <f>SUMIFS(Base!$K$3:$K$980,Base!$J$3:$J$980,"Jpe",Base!$G$3:$G$980,$B45,Base!$K$3:$K$980,"&lt;&gt;#N/A")</f>
        <v>4135</v>
      </c>
      <c r="F45" s="21">
        <f>SUMIFS(Base!$L$3:$L$980,Base!$J$3:$J$980,"Jpe",Base!$G$3:$G$980,$B45)</f>
        <v>200.96638230752166</v>
      </c>
      <c r="G45" s="22">
        <f>IFERROR(E45/F45,0)</f>
        <v>20.575580614635154</v>
      </c>
      <c r="H45" s="22"/>
      <c r="I45" s="22">
        <f>IFERROR(SUMIFS(Base!$P$3:$P$980,Base!$J$3:$J$980,"Jpe",Base!$G$3:$G$980,$B45)/F45,0)</f>
        <v>11.968507028817715</v>
      </c>
      <c r="J45" s="23">
        <f>1+SUMPRODUCT(($K$6:$K$114="")*($I$6:$I$114&lt;I45))</f>
        <v>3</v>
      </c>
      <c r="K45" s="23"/>
    </row>
    <row r="46" spans="2:11" ht="14.25" customHeight="1" outlineLevel="1" x14ac:dyDescent="0.35">
      <c r="B46" s="24" t="str">
        <f>INDEX(Base!$H$3:$H$980,MATCH($K46,Base!$B$3:$B$980,0))</f>
        <v xml:space="preserve"> COPO REFRIG.PP BK 440ML CX 900 UND </v>
      </c>
      <c r="C46" s="25" t="str">
        <f>IFERROR(IF(INDEX(Base!$I$3:$I$980,MATCH($K46,Base!$B$3:$B$980,0))="","",INDEX(Base!$I$3:$I$980,MATCH($K46,Base!$B$3:$B$980,0))),"sem fornecedor")</f>
        <v>BO PACK</v>
      </c>
      <c r="D46" s="26">
        <f>INDEX(Base!$E$3:$E$980,MATCH($K46,Base!$B$3:$B$980,0))</f>
        <v>201030000119</v>
      </c>
      <c r="E46" s="27">
        <f>IFERROR(INDEX(Base!$K$3:$K$980,MATCH($K46,Base!$B$3:$B$980,0)),"sem estoque")</f>
        <v>127</v>
      </c>
      <c r="F46" s="27">
        <f>INDEX(Base!$L$3:$L$980,MATCH($K46,Base!$B$3:$B$980,0))</f>
        <v>14.260417202875001</v>
      </c>
      <c r="G46" s="28">
        <f>INDEX(Base!$M$3:$M$980,MATCH($K46,Base!$B$3:$B$980,0))</f>
        <v>8.9057703006329927</v>
      </c>
      <c r="H46" s="28">
        <f>INDEX(Base!$N$3:$N$980,MATCH($K46,Base!$B$3:$B$980,0))</f>
        <v>15</v>
      </c>
      <c r="I46" s="28">
        <f>INDEX(Base!$O$3:$O$980,MATCH($K46,Base!$B$3:$B$980,0))</f>
        <v>8.9057703006329927</v>
      </c>
      <c r="J46" s="29"/>
      <c r="K46" s="30" t="s">
        <v>170</v>
      </c>
    </row>
    <row r="47" spans="2:11" ht="14.25" customHeight="1" outlineLevel="1" x14ac:dyDescent="0.35">
      <c r="B47" s="24" t="str">
        <f>INDEX(Base!$H$3:$H$980,MATCH($K47,Base!$B$3:$B$980,0))</f>
        <v>ETIQ LACRE DE SEGURANCA BKC 79,94X39,93MM</v>
      </c>
      <c r="C47" s="25" t="str">
        <f>IFERROR(IF(INDEX(Base!$I$3:$I$980,MATCH($K47,Base!$B$3:$B$980,0))="","",INDEX(Base!$I$3:$I$980,MATCH($K47,Base!$B$3:$B$980,0))),"sem fornecedor")</f>
        <v>ALL4LABELS</v>
      </c>
      <c r="D47" s="26">
        <f>INDEX(Base!$E$3:$E$980,MATCH($K47,Base!$B$3:$B$980,0))</f>
        <v>201030000468</v>
      </c>
      <c r="E47" s="27">
        <f>IFERROR(INDEX(Base!$K$3:$K$980,MATCH($K47,Base!$B$3:$B$980,0)),"sem estoque")</f>
        <v>954</v>
      </c>
      <c r="F47" s="27">
        <f>INDEX(Base!$L$3:$L$980,MATCH($K47,Base!$B$3:$B$980,0))</f>
        <v>2.0716733742451598</v>
      </c>
      <c r="G47" s="28">
        <f>INDEX(Base!$M$3:$M$980,MATCH($K47,Base!$B$3:$B$980,0))</f>
        <v>460.49730225818143</v>
      </c>
      <c r="H47" s="28">
        <f>INDEX(Base!$N$3:$N$980,MATCH($K47,Base!$B$3:$B$980,0))</f>
        <v>38</v>
      </c>
      <c r="I47" s="28">
        <f>INDEX(Base!$O$3:$O$980,MATCH($K47,Base!$B$3:$B$980,0))</f>
        <v>38</v>
      </c>
      <c r="J47" s="29"/>
      <c r="K47" s="30" t="s">
        <v>171</v>
      </c>
    </row>
    <row r="48" spans="2:11" ht="14.25" customHeight="1" outlineLevel="1" x14ac:dyDescent="0.35">
      <c r="B48" s="24" t="str">
        <f>INDEX(Base!$H$3:$H$980,MATCH($K48,Base!$B$3:$B$980,0))</f>
        <v xml:space="preserve"> SACOLA P/ VIAGEM PCT 500 UN </v>
      </c>
      <c r="C48" s="25" t="str">
        <f>IFERROR(IF(INDEX(Base!$I$3:$I$980,MATCH($K48,Base!$B$3:$B$980,0))="","",INDEX(Base!$I$3:$I$980,MATCH($K48,Base!$B$3:$B$980,0))),"sem fornecedor")</f>
        <v>C. CLARO</v>
      </c>
      <c r="D48" s="26">
        <f>INDEX(Base!$E$3:$E$980,MATCH($K48,Base!$B$3:$B$980,0))</f>
        <v>201030000215</v>
      </c>
      <c r="E48" s="27">
        <f>IFERROR(INDEX(Base!$K$3:$K$980,MATCH($K48,Base!$B$3:$B$980,0)),"sem estoque")</f>
        <v>160</v>
      </c>
      <c r="F48" s="27">
        <f>INDEX(Base!$L$3:$L$980,MATCH($K48,Base!$B$3:$B$980,0))</f>
        <v>11.6457502016129</v>
      </c>
      <c r="G48" s="28">
        <f>INDEX(Base!$M$3:$M$980,MATCH($K48,Base!$B$3:$B$980,0))</f>
        <v>13.738917393045275</v>
      </c>
      <c r="H48" s="28">
        <f>INDEX(Base!$N$3:$N$980,MATCH($K48,Base!$B$3:$B$980,0))</f>
        <v>27</v>
      </c>
      <c r="I48" s="28">
        <f>INDEX(Base!$O$3:$O$980,MATCH($K48,Base!$B$3:$B$980,0))</f>
        <v>13.738917393045275</v>
      </c>
      <c r="J48" s="29"/>
      <c r="K48" s="30" t="s">
        <v>172</v>
      </c>
    </row>
    <row r="49" spans="2:11" ht="14.25" customHeight="1" outlineLevel="1" x14ac:dyDescent="0.35">
      <c r="B49" s="24" t="str">
        <f>INDEX(Base!$H$3:$H$980,MATCH($K49,Base!$B$3:$B$980,0))</f>
        <v xml:space="preserve"> SACO VIAGEM 12 LIBRAS PCT 1000 UN </v>
      </c>
      <c r="C49" s="25" t="str">
        <f>IFERROR(IF(INDEX(Base!$I$3:$I$980,MATCH($K49,Base!$B$3:$B$980,0))="","",INDEX(Base!$I$3:$I$980,MATCH($K49,Base!$B$3:$B$980,0))),"sem fornecedor")</f>
        <v>C. CLARO</v>
      </c>
      <c r="D49" s="26">
        <f>INDEX(Base!$E$3:$E$980,MATCH($K49,Base!$B$3:$B$980,0))</f>
        <v>201030000214</v>
      </c>
      <c r="E49" s="27">
        <f>IFERROR(INDEX(Base!$K$3:$K$980,MATCH($K49,Base!$B$3:$B$980,0)),"sem estoque")</f>
        <v>124</v>
      </c>
      <c r="F49" s="27">
        <f>INDEX(Base!$L$3:$L$980,MATCH($K49,Base!$B$3:$B$980,0))</f>
        <v>12.6230508064516</v>
      </c>
      <c r="G49" s="28">
        <f>INDEX(Base!$M$3:$M$980,MATCH($K49,Base!$B$3:$B$980,0))</f>
        <v>9.8232988127263194</v>
      </c>
      <c r="H49" s="28">
        <f>INDEX(Base!$N$3:$N$980,MATCH($K49,Base!$B$3:$B$980,0))</f>
        <v>20</v>
      </c>
      <c r="I49" s="28">
        <f>INDEX(Base!$O$3:$O$980,MATCH($K49,Base!$B$3:$B$980,0))</f>
        <v>9.8232988127263194</v>
      </c>
      <c r="J49" s="29"/>
      <c r="K49" s="30" t="s">
        <v>173</v>
      </c>
    </row>
    <row r="50" spans="2:11" ht="14.25" customHeight="1" outlineLevel="1" x14ac:dyDescent="0.35">
      <c r="B50" s="24" t="str">
        <f>INDEX(Base!$H$3:$H$980,MATCH($K50,Base!$B$3:$B$980,0))</f>
        <v xml:space="preserve"> CARTONAGEM BATATA MEDIA NOVA BK CX 1600 UND </v>
      </c>
      <c r="C50" s="25" t="str">
        <f>IFERROR(IF(INDEX(Base!$I$3:$I$980,MATCH($K50,Base!$B$3:$B$980,0))="","",INDEX(Base!$I$3:$I$980,MATCH($K50,Base!$B$3:$B$980,0))),"sem fornecedor")</f>
        <v>INNOVAPACK</v>
      </c>
      <c r="D50" s="26">
        <f>INDEX(Base!$E$3:$E$980,MATCH($K50,Base!$B$3:$B$980,0))</f>
        <v>201030000413</v>
      </c>
      <c r="E50" s="27">
        <f>IFERROR(INDEX(Base!$K$3:$K$980,MATCH($K50,Base!$B$3:$B$980,0)),"sem estoque")</f>
        <v>241</v>
      </c>
      <c r="F50" s="27">
        <f>INDEX(Base!$L$3:$L$980,MATCH($K50,Base!$B$3:$B$980,0))</f>
        <v>7.8118790826612896</v>
      </c>
      <c r="G50" s="28">
        <f>INDEX(Base!$M$3:$M$980,MATCH($K50,Base!$B$3:$B$980,0))</f>
        <v>30.850451914304081</v>
      </c>
      <c r="H50" s="28">
        <f>INDEX(Base!$N$3:$N$980,MATCH($K50,Base!$B$3:$B$980,0))</f>
        <v>16</v>
      </c>
      <c r="I50" s="28">
        <f>INDEX(Base!$O$3:$O$980,MATCH($K50,Base!$B$3:$B$980,0))</f>
        <v>16</v>
      </c>
      <c r="J50" s="29"/>
      <c r="K50" s="30" t="s">
        <v>174</v>
      </c>
    </row>
    <row r="51" spans="2:11" ht="14.25" customHeight="1" outlineLevel="1" x14ac:dyDescent="0.35">
      <c r="B51" s="24" t="str">
        <f>INDEX(Base!$H$3:$H$980,MATCH($K51,Base!$B$3:$B$980,0))</f>
        <v xml:space="preserve"> GUARDANAPO INTERFOLHADO BK CX 5400 UM </v>
      </c>
      <c r="C51" s="25" t="str">
        <f>IFERROR(IF(INDEX(Base!$I$3:$I$980,MATCH($K51,Base!$B$3:$B$980,0))="","",INDEX(Base!$I$3:$I$980,MATCH($K51,Base!$B$3:$B$980,0))),"sem fornecedor")</f>
        <v>MELHORA 1</v>
      </c>
      <c r="D51" s="26">
        <f>INDEX(Base!$E$3:$E$980,MATCH($K51,Base!$B$3:$B$980,0))</f>
        <v>201030000356</v>
      </c>
      <c r="E51" s="27">
        <f>IFERROR(INDEX(Base!$K$3:$K$980,MATCH($K51,Base!$B$3:$B$980,0)),"sem estoque")</f>
        <v>351</v>
      </c>
      <c r="F51" s="27">
        <f>INDEX(Base!$L$3:$L$980,MATCH($K51,Base!$B$3:$B$980,0))</f>
        <v>11.579242700487599</v>
      </c>
      <c r="G51" s="28">
        <f>INDEX(Base!$M$3:$M$980,MATCH($K51,Base!$B$3:$B$980,0))</f>
        <v>30.312863205226666</v>
      </c>
      <c r="H51" s="28">
        <f>INDEX(Base!$N$3:$N$980,MATCH($K51,Base!$B$3:$B$980,0))</f>
        <v>19</v>
      </c>
      <c r="I51" s="28">
        <f>INDEX(Base!$O$3:$O$980,MATCH($K51,Base!$B$3:$B$980,0))</f>
        <v>19</v>
      </c>
      <c r="J51" s="29"/>
      <c r="K51" s="30" t="s">
        <v>175</v>
      </c>
    </row>
    <row r="52" spans="2:11" ht="14.25" customHeight="1" outlineLevel="1" x14ac:dyDescent="0.35">
      <c r="B52" s="24" t="str">
        <f>INDEX(Base!$H$3:$H$980,MATCH($K52,Base!$B$3:$B$980,0))</f>
        <v xml:space="preserve"> SACO VIAGEM 6 LIBRAS PCT 1000 UN </v>
      </c>
      <c r="C52" s="25" t="str">
        <f>IFERROR(IF(INDEX(Base!$I$3:$I$980,MATCH($K52,Base!$B$3:$B$980,0))="","",INDEX(Base!$I$3:$I$980,MATCH($K52,Base!$B$3:$B$980,0))),"sem fornecedor")</f>
        <v>C. CLARO</v>
      </c>
      <c r="D52" s="26">
        <f>INDEX(Base!$E$3:$E$980,MATCH($K52,Base!$B$3:$B$980,0))</f>
        <v>201030000213</v>
      </c>
      <c r="E52" s="27">
        <f>IFERROR(INDEX(Base!$K$3:$K$980,MATCH($K52,Base!$B$3:$B$980,0)),"sem estoque")</f>
        <v>120</v>
      </c>
      <c r="F52" s="27">
        <f>INDEX(Base!$L$3:$L$980,MATCH($K52,Base!$B$3:$B$980,0))</f>
        <v>9.8973121975806908</v>
      </c>
      <c r="G52" s="28">
        <f>INDEX(Base!$M$3:$M$980,MATCH($K52,Base!$B$3:$B$980,0))</f>
        <v>12.124503865739722</v>
      </c>
      <c r="H52" s="28">
        <f>INDEX(Base!$N$3:$N$980,MATCH($K52,Base!$B$3:$B$980,0))</f>
        <v>19</v>
      </c>
      <c r="I52" s="28">
        <f>INDEX(Base!$O$3:$O$980,MATCH($K52,Base!$B$3:$B$980,0))</f>
        <v>12.124503865739722</v>
      </c>
      <c r="J52" s="29"/>
      <c r="K52" s="30" t="s">
        <v>176</v>
      </c>
    </row>
    <row r="53" spans="2:11" ht="14.25" customHeight="1" outlineLevel="1" x14ac:dyDescent="0.35">
      <c r="B53" s="24" t="str">
        <f>INDEX(Base!$H$3:$H$980,MATCH($K53,Base!$B$3:$B$980,0))</f>
        <v xml:space="preserve"> LAMINA WHOPPER BK 2025 FD3000UN </v>
      </c>
      <c r="C53" s="25" t="str">
        <f>IFERROR(IF(INDEX(Base!$I$3:$I$980,MATCH($K53,Base!$B$3:$B$980,0))="","",INDEX(Base!$I$3:$I$980,MATCH($K53,Base!$B$3:$B$980,0))),"sem fornecedor")</f>
        <v>C. CLARO</v>
      </c>
      <c r="D53" s="26">
        <f>INDEX(Base!$E$3:$E$980,MATCH($K53,Base!$B$3:$B$980,0))</f>
        <v>221000000612</v>
      </c>
      <c r="E53" s="27">
        <f>IFERROR(INDEX(Base!$K$3:$K$980,MATCH($K53,Base!$B$3:$B$980,0)),"sem estoque")</f>
        <v>114</v>
      </c>
      <c r="F53" s="27">
        <f>INDEX(Base!$L$3:$L$980,MATCH($K53,Base!$B$3:$B$980,0))</f>
        <v>4.2498088667179399</v>
      </c>
      <c r="G53" s="28">
        <f>INDEX(Base!$M$3:$M$980,MATCH($K53,Base!$B$3:$B$980,0))</f>
        <v>26.824735788186256</v>
      </c>
      <c r="H53" s="28">
        <f>INDEX(Base!$N$3:$N$980,MATCH($K53,Base!$B$3:$B$980,0))</f>
        <v>17</v>
      </c>
      <c r="I53" s="28">
        <f>INDEX(Base!$O$3:$O$980,MATCH($K53,Base!$B$3:$B$980,0))</f>
        <v>17</v>
      </c>
      <c r="J53" s="29"/>
      <c r="K53" s="30" t="s">
        <v>177</v>
      </c>
    </row>
    <row r="54" spans="2:11" ht="14.25" customHeight="1" outlineLevel="1" x14ac:dyDescent="0.35">
      <c r="B54" s="24" t="str">
        <f>INDEX(Base!$H$3:$H$980,MATCH($K54,Base!$B$3:$B$980,0))</f>
        <v xml:space="preserve"> LAMINA KING JUNIOR 2025 FD3000UN </v>
      </c>
      <c r="C54" s="25" t="str">
        <f>IFERROR(IF(INDEX(Base!$I$3:$I$980,MATCH($K54,Base!$B$3:$B$980,0))="","",INDEX(Base!$I$3:$I$980,MATCH($K54,Base!$B$3:$B$980,0))),"sem fornecedor")</f>
        <v>C. CLARO</v>
      </c>
      <c r="D54" s="26">
        <f>INDEX(Base!$E$3:$E$980,MATCH($K54,Base!$B$3:$B$980,0))</f>
        <v>221000000617</v>
      </c>
      <c r="E54" s="27">
        <f>IFERROR(INDEX(Base!$K$3:$K$980,MATCH($K54,Base!$B$3:$B$980,0)),"sem estoque")</f>
        <v>18</v>
      </c>
      <c r="F54" s="27">
        <f>INDEX(Base!$L$3:$L$980,MATCH($K54,Base!$B$3:$B$980,0))</f>
        <v>7.5126474656056397</v>
      </c>
      <c r="G54" s="28">
        <f>INDEX(Base!$M$3:$M$980,MATCH($K54,Base!$B$3:$B$980,0))</f>
        <v>2.3959596244077068</v>
      </c>
      <c r="H54" s="28">
        <f>INDEX(Base!$N$3:$N$980,MATCH($K54,Base!$B$3:$B$980,0))</f>
        <v>18</v>
      </c>
      <c r="I54" s="28">
        <f>INDEX(Base!$O$3:$O$980,MATCH($K54,Base!$B$3:$B$980,0))</f>
        <v>2.3959596244077068</v>
      </c>
      <c r="J54" s="29"/>
      <c r="K54" s="30" t="s">
        <v>178</v>
      </c>
    </row>
    <row r="55" spans="2:11" ht="14.25" customHeight="1" outlineLevel="1" x14ac:dyDescent="0.35">
      <c r="B55" s="24" t="str">
        <f>INDEX(Base!$H$3:$H$980,MATCH($K55,Base!$B$3:$B$980,0))</f>
        <v xml:space="preserve"> POTE PAPEL 900 ML BK CD CX COM 500 UND </v>
      </c>
      <c r="C55" s="25" t="str">
        <f>IFERROR(IF(INDEX(Base!$I$3:$I$980,MATCH($K55,Base!$B$3:$B$980,0))="","",INDEX(Base!$I$3:$I$980,MATCH($K55,Base!$B$3:$B$980,0))),"sem fornecedor")</f>
        <v>BO PACK</v>
      </c>
      <c r="D55" s="26">
        <f>INDEX(Base!$E$3:$E$980,MATCH($K55,Base!$B$3:$B$980,0))</f>
        <v>201030000264</v>
      </c>
      <c r="E55" s="27">
        <f>IFERROR(INDEX(Base!$K$3:$K$980,MATCH($K55,Base!$B$3:$B$980,0)),"sem estoque")</f>
        <v>1</v>
      </c>
      <c r="F55" s="27">
        <f>INDEX(Base!$L$3:$L$980,MATCH($K55,Base!$B$3:$B$980,0))</f>
        <v>6.1483519354838698</v>
      </c>
      <c r="G55" s="28">
        <f>INDEX(Base!$M$3:$M$980,MATCH($K55,Base!$B$3:$B$980,0))</f>
        <v>0.16264521134984458</v>
      </c>
      <c r="H55" s="28">
        <f>INDEX(Base!$N$3:$N$980,MATCH($K55,Base!$B$3:$B$980,0))</f>
        <v>15</v>
      </c>
      <c r="I55" s="28">
        <f>INDEX(Base!$O$3:$O$980,MATCH($K55,Base!$B$3:$B$980,0))</f>
        <v>0.16264521134984458</v>
      </c>
      <c r="J55" s="29"/>
      <c r="K55" s="30" t="s">
        <v>179</v>
      </c>
    </row>
    <row r="56" spans="2:11" ht="14.25" customHeight="1" outlineLevel="1" x14ac:dyDescent="0.35">
      <c r="B56" s="24" t="str">
        <f>INDEX(Base!$H$3:$H$980,MATCH($K56,Base!$B$3:$B$980,0))</f>
        <v xml:space="preserve"> FUNDO BANDEJA INSTITUCIONAL BURGER KING CX 2000 UND </v>
      </c>
      <c r="C56" s="25" t="str">
        <f>IFERROR(IF(INDEX(Base!$I$3:$I$980,MATCH($K56,Base!$B$3:$B$980,0))="","",INDEX(Base!$I$3:$I$980,MATCH($K56,Base!$B$3:$B$980,0))),"sem fornecedor")</f>
        <v>TRENIER</v>
      </c>
      <c r="D56" s="26">
        <f>INDEX(Base!$E$3:$E$980,MATCH($K56,Base!$B$3:$B$980,0))</f>
        <v>201030000125</v>
      </c>
      <c r="E56" s="27">
        <f>IFERROR(INDEX(Base!$K$3:$K$980,MATCH($K56,Base!$B$3:$B$980,0)),"sem estoque")</f>
        <v>-4</v>
      </c>
      <c r="F56" s="27">
        <f>INDEX(Base!$L$3:$L$980,MATCH($K56,Base!$B$3:$B$980,0))</f>
        <v>4.8466269469909804</v>
      </c>
      <c r="G56" s="28">
        <f>INDEX(Base!$M$3:$M$980,MATCH($K56,Base!$B$3:$B$980,0))</f>
        <v>-0.82531625473740922</v>
      </c>
      <c r="H56" s="28">
        <f>INDEX(Base!$N$3:$N$980,MATCH($K56,Base!$B$3:$B$980,0))</f>
        <v>22</v>
      </c>
      <c r="I56" s="28">
        <f>INDEX(Base!$O$3:$O$980,MATCH($K56,Base!$B$3:$B$980,0))</f>
        <v>-0.82531625473740922</v>
      </c>
      <c r="J56" s="29"/>
      <c r="K56" s="30" t="s">
        <v>180</v>
      </c>
    </row>
    <row r="57" spans="2:11" ht="14.25" customHeight="1" outlineLevel="1" x14ac:dyDescent="0.35">
      <c r="B57" s="24" t="str">
        <f>INDEX(Base!$H$3:$H$980,MATCH($K57,Base!$B$3:$B$980,0))</f>
        <v xml:space="preserve"> COPO MIX INSTITUCIONAL 290ML BK BO PACK CX 320UN </v>
      </c>
      <c r="C57" s="25" t="str">
        <f>IFERROR(IF(INDEX(Base!$I$3:$I$980,MATCH($K57,Base!$B$3:$B$980,0))="","",INDEX(Base!$I$3:$I$980,MATCH($K57,Base!$B$3:$B$980,0))),"sem fornecedor")</f>
        <v>BO PACK</v>
      </c>
      <c r="D57" s="26">
        <f>INDEX(Base!$E$3:$E$980,MATCH($K57,Base!$B$3:$B$980,0))</f>
        <v>201030000304</v>
      </c>
      <c r="E57" s="27">
        <f>IFERROR(INDEX(Base!$K$3:$K$980,MATCH($K57,Base!$B$3:$B$980,0)),"sem estoque")</f>
        <v>104</v>
      </c>
      <c r="F57" s="27">
        <f>INDEX(Base!$L$3:$L$980,MATCH($K57,Base!$B$3:$B$980,0))</f>
        <v>10.852233385301499</v>
      </c>
      <c r="G57" s="28">
        <f>INDEX(Base!$M$3:$M$980,MATCH($K57,Base!$B$3:$B$980,0))</f>
        <v>9.5832808148836772</v>
      </c>
      <c r="H57" s="28">
        <f>INDEX(Base!$N$3:$N$980,MATCH($K57,Base!$B$3:$B$980,0))</f>
        <v>16</v>
      </c>
      <c r="I57" s="28">
        <f>INDEX(Base!$O$3:$O$980,MATCH($K57,Base!$B$3:$B$980,0))</f>
        <v>9.5832808148836772</v>
      </c>
      <c r="J57" s="29"/>
      <c r="K57" s="30" t="s">
        <v>181</v>
      </c>
    </row>
    <row r="58" spans="2:11" ht="14.25" customHeight="1" outlineLevel="1" x14ac:dyDescent="0.35">
      <c r="B58" s="24" t="str">
        <f>INDEX(Base!$H$3:$H$980,MATCH($K58,Base!$B$3:$B$980,0))</f>
        <v xml:space="preserve"> CART BATATA MEDIA DLV (NOVA) CX 500UN </v>
      </c>
      <c r="C58" s="25" t="str">
        <f>IFERROR(IF(INDEX(Base!$I$3:$I$980,MATCH($K58,Base!$B$3:$B$980,0))="","",INDEX(Base!$I$3:$I$980,MATCH($K58,Base!$B$3:$B$980,0))),"sem fornecedor")</f>
        <v>INNOVAPACK</v>
      </c>
      <c r="D58" s="26">
        <f>INDEX(Base!$E$3:$E$980,MATCH($K58,Base!$B$3:$B$980,0))</f>
        <v>201030000480</v>
      </c>
      <c r="E58" s="27">
        <f>IFERROR(INDEX(Base!$K$3:$K$980,MATCH($K58,Base!$B$3:$B$980,0)),"sem estoque")</f>
        <v>101</v>
      </c>
      <c r="F58" s="27">
        <f>INDEX(Base!$L$3:$L$980,MATCH($K58,Base!$B$3:$B$980,0))</f>
        <v>13.3356974951613</v>
      </c>
      <c r="G58" s="28">
        <f>INDEX(Base!$M$3:$M$980,MATCH($K58,Base!$B$3:$B$980,0))</f>
        <v>7.5736570986741905</v>
      </c>
      <c r="H58" s="28">
        <f>INDEX(Base!$N$3:$N$980,MATCH($K58,Base!$B$3:$B$980,0))</f>
        <v>18</v>
      </c>
      <c r="I58" s="28">
        <f>INDEX(Base!$O$3:$O$980,MATCH($K58,Base!$B$3:$B$980,0))</f>
        <v>7.5736570986741905</v>
      </c>
      <c r="J58" s="29"/>
      <c r="K58" s="30" t="s">
        <v>182</v>
      </c>
    </row>
    <row r="59" spans="2:11" ht="14.25" customHeight="1" outlineLevel="1" x14ac:dyDescent="0.35">
      <c r="B59" s="24" t="str">
        <f>INDEX(Base!$H$3:$H$980,MATCH($K59,Base!$B$3:$B$980,0))</f>
        <v xml:space="preserve"> LAMINA CHICKEN BK 2025 FD3000UN </v>
      </c>
      <c r="C59" s="25" t="str">
        <f>IFERROR(IF(INDEX(Base!$I$3:$I$980,MATCH($K59,Base!$B$3:$B$980,0))="","",INDEX(Base!$I$3:$I$980,MATCH($K59,Base!$B$3:$B$980,0))),"sem fornecedor")</f>
        <v>C. CLARO</v>
      </c>
      <c r="D59" s="26">
        <f>INDEX(Base!$E$3:$E$980,MATCH($K59,Base!$B$3:$B$980,0))</f>
        <v>221000000615</v>
      </c>
      <c r="E59" s="27">
        <f>IFERROR(INDEX(Base!$K$3:$K$980,MATCH($K59,Base!$B$3:$B$980,0)),"sem estoque")</f>
        <v>15</v>
      </c>
      <c r="F59" s="27">
        <f>INDEX(Base!$L$3:$L$980,MATCH($K59,Base!$B$3:$B$980,0))</f>
        <v>1.12210903113597</v>
      </c>
      <c r="G59" s="28">
        <f>INDEX(Base!$M$3:$M$980,MATCH($K59,Base!$B$3:$B$980,0))</f>
        <v>13.367684943070737</v>
      </c>
      <c r="H59" s="28">
        <f>INDEX(Base!$N$3:$N$980,MATCH($K59,Base!$B$3:$B$980,0))</f>
        <v>18</v>
      </c>
      <c r="I59" s="28">
        <f>INDEX(Base!$O$3:$O$980,MATCH($K59,Base!$B$3:$B$980,0))</f>
        <v>13.367684943070737</v>
      </c>
      <c r="J59" s="29"/>
      <c r="K59" s="30" t="s">
        <v>183</v>
      </c>
    </row>
    <row r="60" spans="2:11" ht="14.25" customHeight="1" outlineLevel="1" x14ac:dyDescent="0.35">
      <c r="B60" s="24" t="str">
        <f>INDEX(Base!$H$3:$H$980,MATCH($K60,Base!$B$3:$B$980,0))</f>
        <v xml:space="preserve"> COLHER SORVETE PREMIUM BK CX 1000UND </v>
      </c>
      <c r="C60" s="25" t="str">
        <f>IFERROR(IF(INDEX(Base!$I$3:$I$980,MATCH($K60,Base!$B$3:$B$980,0))="","",INDEX(Base!$I$3:$I$980,MATCH($K60,Base!$B$3:$B$980,0))),"sem fornecedor")</f>
        <v>SERT PLAST</v>
      </c>
      <c r="D60" s="26">
        <f>INDEX(Base!$E$3:$E$980,MATCH($K60,Base!$B$3:$B$980,0))</f>
        <v>201030000111</v>
      </c>
      <c r="E60" s="27">
        <f>IFERROR(INDEX(Base!$K$3:$K$980,MATCH($K60,Base!$B$3:$B$980,0)),"sem estoque")</f>
        <v>113</v>
      </c>
      <c r="F60" s="27">
        <f>INDEX(Base!$L$3:$L$980,MATCH($K60,Base!$B$3:$B$980,0))</f>
        <v>8.7517678743210396</v>
      </c>
      <c r="G60" s="28">
        <f>INDEX(Base!$M$3:$M$980,MATCH($K60,Base!$B$3:$B$980,0))</f>
        <v>12.911677003175374</v>
      </c>
      <c r="H60" s="28">
        <f>INDEX(Base!$N$3:$N$980,MATCH($K60,Base!$B$3:$B$980,0))</f>
        <v>14</v>
      </c>
      <c r="I60" s="28">
        <f>INDEX(Base!$O$3:$O$980,MATCH($K60,Base!$B$3:$B$980,0))</f>
        <v>12.911677003175374</v>
      </c>
      <c r="J60" s="29"/>
      <c r="K60" s="30" t="s">
        <v>184</v>
      </c>
    </row>
    <row r="61" spans="2:11" ht="14.25" customHeight="1" outlineLevel="1" x14ac:dyDescent="0.35">
      <c r="B61" s="24" t="str">
        <f>INDEX(Base!$H$3:$H$980,MATCH($K61,Base!$B$3:$B$980,0))</f>
        <v xml:space="preserve"> SACO BK CHICKEN C.C PCT 1000UNDS </v>
      </c>
      <c r="C61" s="25" t="str">
        <f>IFERROR(IF(INDEX(Base!$I$3:$I$980,MATCH($K61,Base!$B$3:$B$980,0))="","",INDEX(Base!$I$3:$I$980,MATCH($K61,Base!$B$3:$B$980,0))),"sem fornecedor")</f>
        <v>TRENIER</v>
      </c>
      <c r="D61" s="26">
        <f>INDEX(Base!$E$3:$E$980,MATCH($K61,Base!$B$3:$B$980,0))</f>
        <v>201030000149</v>
      </c>
      <c r="E61" s="27">
        <f>IFERROR(INDEX(Base!$K$3:$K$980,MATCH($K61,Base!$B$3:$B$980,0)),"sem estoque")</f>
        <v>87</v>
      </c>
      <c r="F61" s="27">
        <f>INDEX(Base!$L$3:$L$980,MATCH($K61,Base!$B$3:$B$980,0))</f>
        <v>2.6442419274292401</v>
      </c>
      <c r="G61" s="28">
        <f>INDEX(Base!$M$3:$M$980,MATCH($K61,Base!$B$3:$B$980,0))</f>
        <v>32.901679342397507</v>
      </c>
      <c r="H61" s="28">
        <f>INDEX(Base!$N$3:$N$980,MATCH($K61,Base!$B$3:$B$980,0))</f>
        <v>23</v>
      </c>
      <c r="I61" s="28">
        <f>INDEX(Base!$O$3:$O$980,MATCH($K61,Base!$B$3:$B$980,0))</f>
        <v>23</v>
      </c>
      <c r="J61" s="29"/>
      <c r="K61" s="30" t="s">
        <v>185</v>
      </c>
    </row>
    <row r="62" spans="2:11" ht="14.25" customHeight="1" outlineLevel="1" x14ac:dyDescent="0.35">
      <c r="B62" s="24" t="str">
        <f>INDEX(Base!$H$3:$H$980,MATCH($K62,Base!$B$3:$B$980,0))</f>
        <v xml:space="preserve">TAMPA BK MIX DLV 1000UND </v>
      </c>
      <c r="C62" s="25" t="str">
        <f>IFERROR(IF(INDEX(Base!$I$3:$I$980,MATCH($K62,Base!$B$3:$B$980,0))="","",INDEX(Base!$I$3:$I$980,MATCH($K62,Base!$B$3:$B$980,0))),"sem fornecedor")</f>
        <v>BO PACK</v>
      </c>
      <c r="D62" s="26">
        <f>INDEX(Base!$E$3:$E$980,MATCH($K62,Base!$B$3:$B$980,0))</f>
        <v>221000000404</v>
      </c>
      <c r="E62" s="27">
        <f>IFERROR(INDEX(Base!$K$3:$K$980,MATCH($K62,Base!$B$3:$B$980,0)),"sem estoque")</f>
        <v>18</v>
      </c>
      <c r="F62" s="27">
        <f>INDEX(Base!$L$3:$L$980,MATCH($K62,Base!$B$3:$B$980,0))</f>
        <v>0.61007833472300599</v>
      </c>
      <c r="G62" s="28">
        <f>INDEX(Base!$M$3:$M$980,MATCH($K62,Base!$B$3:$B$980,0))</f>
        <v>29.50440783669616</v>
      </c>
      <c r="H62" s="28">
        <f>INDEX(Base!$N$3:$N$980,MATCH($K62,Base!$B$3:$B$980,0))</f>
        <v>15</v>
      </c>
      <c r="I62" s="28">
        <f>INDEX(Base!$O$3:$O$980,MATCH($K62,Base!$B$3:$B$980,0))</f>
        <v>15</v>
      </c>
      <c r="J62" s="29"/>
      <c r="K62" s="30" t="s">
        <v>186</v>
      </c>
    </row>
    <row r="63" spans="2:11" ht="14.25" customHeight="1" outlineLevel="1" x14ac:dyDescent="0.35">
      <c r="B63" s="24" t="str">
        <f>INDEX(Base!$H$3:$H$980,MATCH($K63,Base!$B$3:$B$980,0))</f>
        <v xml:space="preserve"> CARTONAGEM BATATA GRANDE BK INNOVAPACK CX 1600 UND </v>
      </c>
      <c r="C63" s="25" t="str">
        <f>IFERROR(IF(INDEX(Base!$I$3:$I$980,MATCH($K63,Base!$B$3:$B$980,0))="","",INDEX(Base!$I$3:$I$980,MATCH($K63,Base!$B$3:$B$980,0))),"sem fornecedor")</f>
        <v>INNOVAPACK</v>
      </c>
      <c r="D63" s="26">
        <f>INDEX(Base!$E$3:$E$980,MATCH($K63,Base!$B$3:$B$980,0))</f>
        <v>201030000104</v>
      </c>
      <c r="E63" s="27">
        <f>IFERROR(INDEX(Base!$K$3:$K$980,MATCH($K63,Base!$B$3:$B$980,0)),"sem estoque")</f>
        <v>49</v>
      </c>
      <c r="F63" s="27">
        <f>INDEX(Base!$L$3:$L$980,MATCH($K63,Base!$B$3:$B$980,0))</f>
        <v>2.7390646673387198</v>
      </c>
      <c r="G63" s="28">
        <f>INDEX(Base!$M$3:$M$980,MATCH($K63,Base!$B$3:$B$980,0))</f>
        <v>17.88931841744667</v>
      </c>
      <c r="H63" s="28">
        <f>INDEX(Base!$N$3:$N$980,MATCH($K63,Base!$B$3:$B$980,0))</f>
        <v>20</v>
      </c>
      <c r="I63" s="28">
        <f>INDEX(Base!$O$3:$O$980,MATCH($K63,Base!$B$3:$B$980,0))</f>
        <v>17.88931841744667</v>
      </c>
      <c r="J63" s="29"/>
      <c r="K63" s="30" t="s">
        <v>187</v>
      </c>
    </row>
    <row r="64" spans="2:11" ht="14.25" customHeight="1" outlineLevel="1" x14ac:dyDescent="0.35">
      <c r="B64" s="24" t="str">
        <f>INDEX(Base!$H$3:$H$980,MATCH($K64,Base!$B$3:$B$980,0))</f>
        <v xml:space="preserve"> CAIXA THE KINGS BK CX 375 UND 2026 </v>
      </c>
      <c r="C64" s="25" t="str">
        <f>IFERROR(IF(INDEX(Base!$I$3:$I$980,MATCH($K64,Base!$B$3:$B$980,0))="","",INDEX(Base!$I$3:$I$980,MATCH($K64,Base!$B$3:$B$980,0))),"sem fornecedor")</f>
        <v>INNOVAPACK</v>
      </c>
      <c r="D64" s="26">
        <f>INDEX(Base!$E$3:$E$980,MATCH($K64,Base!$B$3:$B$980,0))</f>
        <v>221000000395</v>
      </c>
      <c r="E64" s="27">
        <f>IFERROR(INDEX(Base!$K$3:$K$980,MATCH($K64,Base!$B$3:$B$980,0)),"sem estoque")</f>
        <v>40</v>
      </c>
      <c r="F64" s="27">
        <f>INDEX(Base!$L$3:$L$980,MATCH($K64,Base!$B$3:$B$980,0))</f>
        <v>2.6389891342906902</v>
      </c>
      <c r="G64" s="28">
        <f>INDEX(Base!$M$3:$M$980,MATCH($K64,Base!$B$3:$B$980,0))</f>
        <v>15.157318944684187</v>
      </c>
      <c r="H64" s="28">
        <f>INDEX(Base!$N$3:$N$980,MATCH($K64,Base!$B$3:$B$980,0))</f>
        <v>10</v>
      </c>
      <c r="I64" s="28">
        <f>INDEX(Base!$O$3:$O$980,MATCH($K64,Base!$B$3:$B$980,0))</f>
        <v>10</v>
      </c>
      <c r="J64" s="29"/>
      <c r="K64" s="30" t="s">
        <v>188</v>
      </c>
    </row>
    <row r="65" spans="2:11" ht="14.25" customHeight="1" outlineLevel="1" x14ac:dyDescent="0.35">
      <c r="B65" s="24" t="str">
        <f>INDEX(Base!$H$3:$H$980,MATCH($K65,Base!$B$3:$B$980,0))</f>
        <v xml:space="preserve"> TAMPA REFRIGERANTE 440ML NAC BK CX 1800UND </v>
      </c>
      <c r="C65" s="25" t="str">
        <f>IFERROR(IF(INDEX(Base!$I$3:$I$980,MATCH($K65,Base!$B$3:$B$980,0))="","",INDEX(Base!$I$3:$I$980,MATCH($K65,Base!$B$3:$B$980,0))),"sem fornecedor")</f>
        <v>BO PACK</v>
      </c>
      <c r="D65" s="26">
        <f>INDEX(Base!$E$3:$E$980,MATCH($K65,Base!$B$3:$B$980,0))</f>
        <v>201030000175</v>
      </c>
      <c r="E65" s="27">
        <f>IFERROR(INDEX(Base!$K$3:$K$980,MATCH($K65,Base!$B$3:$B$980,0)),"sem estoque")</f>
        <v>32</v>
      </c>
      <c r="F65" s="27">
        <f>INDEX(Base!$L$3:$L$980,MATCH($K65,Base!$B$3:$B$980,0))</f>
        <v>1.16479909694325</v>
      </c>
      <c r="G65" s="28">
        <f>INDEX(Base!$M$3:$M$980,MATCH($K65,Base!$B$3:$B$980,0))</f>
        <v>27.472548771695234</v>
      </c>
      <c r="H65" s="28">
        <f>INDEX(Base!$N$3:$N$980,MATCH($K65,Base!$B$3:$B$980,0))</f>
        <v>17</v>
      </c>
      <c r="I65" s="28">
        <f>INDEX(Base!$O$3:$O$980,MATCH($K65,Base!$B$3:$B$980,0))</f>
        <v>17</v>
      </c>
      <c r="J65" s="29"/>
      <c r="K65" s="30" t="s">
        <v>189</v>
      </c>
    </row>
    <row r="66" spans="2:11" ht="14.25" customHeight="1" outlineLevel="1" x14ac:dyDescent="0.35">
      <c r="B66" s="24" t="str">
        <f>INDEX(Base!$H$3:$H$980,MATCH($K66,Base!$B$3:$B$980,0))</f>
        <v xml:space="preserve"> LAMINA BIG KING BKC FD3000UN </v>
      </c>
      <c r="C66" s="25" t="str">
        <f>IFERROR(IF(INDEX(Base!$I$3:$I$980,MATCH($K66,Base!$B$3:$B$980,0))="","",INDEX(Base!$I$3:$I$980,MATCH($K66,Base!$B$3:$B$980,0))),"sem fornecedor")</f>
        <v>C. CLARO</v>
      </c>
      <c r="D66" s="26">
        <f>INDEX(Base!$E$3:$E$980,MATCH($K66,Base!$B$3:$B$980,0))</f>
        <v>201030000379</v>
      </c>
      <c r="E66" s="27">
        <f>IFERROR(INDEX(Base!$K$3:$K$980,MATCH($K66,Base!$B$3:$B$980,0)),"sem estoque")</f>
        <v>24</v>
      </c>
      <c r="F66" s="27">
        <f>INDEX(Base!$L$3:$L$980,MATCH($K66,Base!$B$3:$B$980,0))</f>
        <v>4.1090397839536097</v>
      </c>
      <c r="G66" s="28">
        <f>INDEX(Base!$M$3:$M$980,MATCH($K66,Base!$B$3:$B$980,0))</f>
        <v>5.8407806353502458</v>
      </c>
      <c r="H66" s="28">
        <f>INDEX(Base!$N$3:$N$980,MATCH($K66,Base!$B$3:$B$980,0))</f>
        <v>23</v>
      </c>
      <c r="I66" s="28">
        <f>INDEX(Base!$O$3:$O$980,MATCH($K66,Base!$B$3:$B$980,0))</f>
        <v>5.8407806353502458</v>
      </c>
      <c r="J66" s="29"/>
      <c r="K66" s="30" t="s">
        <v>190</v>
      </c>
    </row>
    <row r="67" spans="2:11" ht="14.25" customHeight="1" outlineLevel="1" x14ac:dyDescent="0.35">
      <c r="B67" s="24" t="str">
        <f>INDEX(Base!$H$3:$H$980,MATCH($K67,Base!$B$3:$B$980,0))</f>
        <v xml:space="preserve"> COPO 550 ML BK DRIVE FSC MIX CREDIT CX COM 1200 UND </v>
      </c>
      <c r="C67" s="25" t="str">
        <f>IFERROR(IF(INDEX(Base!$I$3:$I$980,MATCH($K67,Base!$B$3:$B$980,0))="","",INDEX(Base!$I$3:$I$980,MATCH($K67,Base!$B$3:$B$980,0))),"sem fornecedor")</f>
        <v>BO PACK</v>
      </c>
      <c r="D67" s="26">
        <f>INDEX(Base!$E$3:$E$980,MATCH($K67,Base!$B$3:$B$980,0))</f>
        <v>201030000501</v>
      </c>
      <c r="E67" s="27">
        <f>IFERROR(INDEX(Base!$K$3:$K$980,MATCH($K67,Base!$B$3:$B$980,0)),"sem estoque")</f>
        <v>61</v>
      </c>
      <c r="F67" s="27">
        <f>INDEX(Base!$L$3:$L$980,MATCH($K67,Base!$B$3:$B$980,0))</f>
        <v>2.1212293073366899</v>
      </c>
      <c r="G67" s="28">
        <f>INDEX(Base!$M$3:$M$980,MATCH($K67,Base!$B$3:$B$980,0))</f>
        <v>28.756909867791979</v>
      </c>
      <c r="H67" s="28">
        <f>INDEX(Base!$N$3:$N$980,MATCH($K67,Base!$B$3:$B$980,0))</f>
        <v>23</v>
      </c>
      <c r="I67" s="28">
        <f>INDEX(Base!$O$3:$O$980,MATCH($K67,Base!$B$3:$B$980,0))</f>
        <v>23</v>
      </c>
      <c r="J67" s="29"/>
      <c r="K67" s="30" t="s">
        <v>191</v>
      </c>
    </row>
    <row r="68" spans="2:11" ht="14.25" customHeight="1" outlineLevel="1" x14ac:dyDescent="0.35">
      <c r="B68" s="24" t="str">
        <f>INDEX(Base!$H$3:$H$980,MATCH($K68,Base!$B$3:$B$980,0))</f>
        <v xml:space="preserve"> TAMPA SHAKE BK 440 ML CX COM 900 UND </v>
      </c>
      <c r="C68" s="25" t="str">
        <f>IFERROR(IF(INDEX(Base!$I$3:$I$980,MATCH($K68,Base!$B$3:$B$980,0))="","",INDEX(Base!$I$3:$I$980,MATCH($K68,Base!$B$3:$B$980,0))),"sem fornecedor")</f>
        <v>ALTACOPPO</v>
      </c>
      <c r="D68" s="26">
        <f>INDEX(Base!$E$3:$E$980,MATCH($K68,Base!$B$3:$B$980,0))</f>
        <v>201030000166</v>
      </c>
      <c r="E68" s="27">
        <f>IFERROR(INDEX(Base!$K$3:$K$980,MATCH($K68,Base!$B$3:$B$980,0)),"sem estoque")</f>
        <v>105</v>
      </c>
      <c r="F68" s="27">
        <f>INDEX(Base!$L$3:$L$980,MATCH($K68,Base!$B$3:$B$980,0))</f>
        <v>4.0405716841837496</v>
      </c>
      <c r="G68" s="28">
        <f>INDEX(Base!$M$3:$M$980,MATCH($K68,Base!$B$3:$B$980,0))</f>
        <v>25.986421775663022</v>
      </c>
      <c r="H68" s="28">
        <f>INDEX(Base!$N$3:$N$980,MATCH($K68,Base!$B$3:$B$980,0))</f>
        <v>17</v>
      </c>
      <c r="I68" s="28">
        <f>INDEX(Base!$O$3:$O$980,MATCH($K68,Base!$B$3:$B$980,0))</f>
        <v>17</v>
      </c>
      <c r="J68" s="29"/>
      <c r="K68" s="30" t="s">
        <v>192</v>
      </c>
    </row>
    <row r="69" spans="2:11" ht="14.25" customHeight="1" outlineLevel="1" x14ac:dyDescent="0.35">
      <c r="B69" s="24" t="str">
        <f>INDEX(Base!$H$3:$H$980,MATCH($K69,Base!$B$3:$B$980,0))</f>
        <v xml:space="preserve"> SACO BK DELIVERY PCT 100 UND </v>
      </c>
      <c r="C69" s="25" t="str">
        <f>IFERROR(IF(INDEX(Base!$I$3:$I$980,MATCH($K69,Base!$B$3:$B$980,0))="","",INDEX(Base!$I$3:$I$980,MATCH($K69,Base!$B$3:$B$980,0))),"sem fornecedor")</f>
        <v>C. CLARO</v>
      </c>
      <c r="D69" s="26">
        <f>INDEX(Base!$E$3:$E$980,MATCH($K69,Base!$B$3:$B$980,0))</f>
        <v>201030000500</v>
      </c>
      <c r="E69" s="27">
        <f>IFERROR(INDEX(Base!$K$3:$K$980,MATCH($K69,Base!$B$3:$B$980,0)),"sem estoque")</f>
        <v>26</v>
      </c>
      <c r="F69" s="27">
        <f>INDEX(Base!$L$3:$L$980,MATCH($K69,Base!$B$3:$B$980,0))</f>
        <v>3.6692066532258099</v>
      </c>
      <c r="G69" s="28">
        <f>INDEX(Base!$M$3:$M$980,MATCH($K69,Base!$B$3:$B$980,0))</f>
        <v>7.0860004511171129</v>
      </c>
      <c r="H69" s="28">
        <f>INDEX(Base!$N$3:$N$980,MATCH($K69,Base!$B$3:$B$980,0))</f>
        <v>18</v>
      </c>
      <c r="I69" s="28">
        <f>INDEX(Base!$O$3:$O$980,MATCH($K69,Base!$B$3:$B$980,0))</f>
        <v>7.0860004511171129</v>
      </c>
      <c r="J69" s="29"/>
      <c r="K69" s="30" t="s">
        <v>193</v>
      </c>
    </row>
    <row r="70" spans="2:11" ht="14.25" customHeight="1" outlineLevel="1" x14ac:dyDescent="0.35">
      <c r="B70" s="24" t="str">
        <f>INDEX(Base!$H$3:$H$980,MATCH($K70,Base!$B$3:$B$980,0))</f>
        <v xml:space="preserve"> COPO CORTESIA ALTA COPPO 200ML CX 2500UND </v>
      </c>
      <c r="C70" s="25" t="str">
        <f>IFERROR(IF(INDEX(Base!$I$3:$I$980,MATCH($K70,Base!$B$3:$B$980,0))="","",INDEX(Base!$I$3:$I$980,MATCH($K70,Base!$B$3:$B$980,0))),"sem fornecedor")</f>
        <v>ALTACOPPO</v>
      </c>
      <c r="D70" s="26">
        <f>INDEX(Base!$E$3:$E$980,MATCH($K70,Base!$B$3:$B$980,0))</f>
        <v>201030000412</v>
      </c>
      <c r="E70" s="27">
        <f>IFERROR(INDEX(Base!$K$3:$K$980,MATCH($K70,Base!$B$3:$B$980,0)),"sem estoque")</f>
        <v>49</v>
      </c>
      <c r="F70" s="27">
        <f>INDEX(Base!$L$3:$L$980,MATCH($K70,Base!$B$3:$B$980,0))</f>
        <v>4.31272645161288</v>
      </c>
      <c r="G70" s="28">
        <f>INDEX(Base!$M$3:$M$980,MATCH($K70,Base!$B$3:$B$980,0))</f>
        <v>11.361722230649455</v>
      </c>
      <c r="H70" s="28">
        <f>INDEX(Base!$N$3:$N$980,MATCH($K70,Base!$B$3:$B$980,0))</f>
        <v>17</v>
      </c>
      <c r="I70" s="28">
        <f>INDEX(Base!$O$3:$O$980,MATCH($K70,Base!$B$3:$B$980,0))</f>
        <v>11.361722230649455</v>
      </c>
      <c r="J70" s="29"/>
      <c r="K70" s="30" t="s">
        <v>194</v>
      </c>
    </row>
    <row r="71" spans="2:11" ht="14.25" customHeight="1" outlineLevel="1" x14ac:dyDescent="0.35">
      <c r="B71" s="24" t="str">
        <f>INDEX(Base!$H$3:$H$980,MATCH($K71,Base!$B$3:$B$980,0))</f>
        <v xml:space="preserve"> CANUDO PAPEL MILK SHAKE 2024 CX 1000 UN </v>
      </c>
      <c r="C71" s="25" t="str">
        <f>IFERROR(IF(INDEX(Base!$I$3:$I$980,MATCH($K71,Base!$B$3:$B$980,0))="","",INDEX(Base!$I$3:$I$980,MATCH($K71,Base!$B$3:$B$980,0))),"sem fornecedor")</f>
        <v>PLASTIFAMA</v>
      </c>
      <c r="D71" s="26">
        <f>INDEX(Base!$E$3:$E$980,MATCH($K71,Base!$B$3:$B$980,0))</f>
        <v>201030000482</v>
      </c>
      <c r="E71" s="27">
        <f>IFERROR(INDEX(Base!$K$3:$K$980,MATCH($K71,Base!$B$3:$B$980,0)),"sem estoque")</f>
        <v>92</v>
      </c>
      <c r="F71" s="27">
        <f>INDEX(Base!$L$3:$L$980,MATCH($K71,Base!$B$3:$B$980,0))</f>
        <v>4.5897570870967801</v>
      </c>
      <c r="G71" s="28">
        <f>INDEX(Base!$M$3:$M$980,MATCH($K71,Base!$B$3:$B$980,0))</f>
        <v>20.044633790890661</v>
      </c>
      <c r="H71" s="28">
        <f>INDEX(Base!$N$3:$N$980,MATCH($K71,Base!$B$3:$B$980,0))</f>
        <v>15</v>
      </c>
      <c r="I71" s="28">
        <f>INDEX(Base!$O$3:$O$980,MATCH($K71,Base!$B$3:$B$980,0))</f>
        <v>15</v>
      </c>
      <c r="J71" s="29"/>
      <c r="K71" s="30" t="s">
        <v>195</v>
      </c>
    </row>
    <row r="72" spans="2:11" ht="14.25" customHeight="1" outlineLevel="1" x14ac:dyDescent="0.35">
      <c r="B72" s="24" t="str">
        <f>INDEX(Base!$H$3:$H$980,MATCH($K72,Base!$B$3:$B$980,0))</f>
        <v xml:space="preserve"> PORTA COPOS P/ 2 COPOS BK 550 ML CX C/ 370 UND </v>
      </c>
      <c r="C72" s="25" t="str">
        <f>IFERROR(IF(INDEX(Base!$I$3:$I$980,MATCH($K72,Base!$B$3:$B$980,0))="","",INDEX(Base!$I$3:$I$980,MATCH($K72,Base!$B$3:$B$980,0))),"sem fornecedor")</f>
        <v>INNOVAPACK</v>
      </c>
      <c r="D72" s="26">
        <f>INDEX(Base!$E$3:$E$980,MATCH($K72,Base!$B$3:$B$980,0))</f>
        <v>201030000411</v>
      </c>
      <c r="E72" s="27">
        <f>IFERROR(INDEX(Base!$K$3:$K$980,MATCH($K72,Base!$B$3:$B$980,0)),"sem estoque")</f>
        <v>105</v>
      </c>
      <c r="F72" s="27">
        <f>INDEX(Base!$L$3:$L$980,MATCH($K72,Base!$B$3:$B$980,0))</f>
        <v>3.11726691584933</v>
      </c>
      <c r="G72" s="28">
        <f>INDEX(Base!$M$3:$M$980,MATCH($K72,Base!$B$3:$B$980,0))</f>
        <v>33.683352383506666</v>
      </c>
      <c r="H72" s="28">
        <f>INDEX(Base!$N$3:$N$980,MATCH($K72,Base!$B$3:$B$980,0))</f>
        <v>15</v>
      </c>
      <c r="I72" s="28">
        <f>INDEX(Base!$O$3:$O$980,MATCH($K72,Base!$B$3:$B$980,0))</f>
        <v>15</v>
      </c>
      <c r="J72" s="29"/>
      <c r="K72" s="30" t="s">
        <v>196</v>
      </c>
    </row>
    <row r="73" spans="2:11" ht="14.25" customHeight="1" outlineLevel="1" x14ac:dyDescent="0.35">
      <c r="B73" s="24" t="str">
        <f>INDEX(Base!$H$3:$H$980,MATCH($K73,Base!$B$3:$B$980,0))</f>
        <v xml:space="preserve"> COROA BURGUER KING CX 500 UND </v>
      </c>
      <c r="C73" s="25" t="str">
        <f>IFERROR(IF(INDEX(Base!$I$3:$I$980,MATCH($K73,Base!$B$3:$B$980,0))="","",INDEX(Base!$I$3:$I$980,MATCH($K73,Base!$B$3:$B$980,0))),"sem fornecedor")</f>
        <v>BRASILGRAF</v>
      </c>
      <c r="D73" s="26">
        <f>INDEX(Base!$E$3:$E$980,MATCH($K73,Base!$B$3:$B$980,0))</f>
        <v>201030000272</v>
      </c>
      <c r="E73" s="27">
        <f>IFERROR(INDEX(Base!$K$3:$K$980,MATCH($K73,Base!$B$3:$B$980,0)),"sem estoque")</f>
        <v>163</v>
      </c>
      <c r="F73" s="27">
        <f>INDEX(Base!$L$3:$L$980,MATCH($K73,Base!$B$3:$B$980,0))</f>
        <v>3.9670696881204099</v>
      </c>
      <c r="G73" s="28">
        <f>INDEX(Base!$M$3:$M$980,MATCH($K73,Base!$B$3:$B$980,0))</f>
        <v>41.088262323223539</v>
      </c>
      <c r="H73" s="28">
        <f>INDEX(Base!$N$3:$N$980,MATCH($K73,Base!$B$3:$B$980,0))</f>
        <v>32</v>
      </c>
      <c r="I73" s="28">
        <f>INDEX(Base!$O$3:$O$980,MATCH($K73,Base!$B$3:$B$980,0))</f>
        <v>32</v>
      </c>
      <c r="J73" s="29"/>
      <c r="K73" s="30" t="s">
        <v>197</v>
      </c>
    </row>
    <row r="74" spans="2:11" ht="14.25" customHeight="1" outlineLevel="1" x14ac:dyDescent="0.35">
      <c r="B74" s="24" t="str">
        <f>INDEX(Base!$H$3:$H$980,MATCH($K74,Base!$B$3:$B$980,0))</f>
        <v xml:space="preserve"> CANUDO PAPEL REFRIGERANTE BK CX 3000UND </v>
      </c>
      <c r="C74" s="25" t="str">
        <f>IFERROR(IF(INDEX(Base!$I$3:$I$980,MATCH($K74,Base!$B$3:$B$980,0))="","",INDEX(Base!$I$3:$I$980,MATCH($K74,Base!$B$3:$B$980,0))),"sem fornecedor")</f>
        <v>PLASTIFAMA</v>
      </c>
      <c r="D74" s="26">
        <f>INDEX(Base!$E$3:$E$980,MATCH($K74,Base!$B$3:$B$980,0))</f>
        <v>201030000361</v>
      </c>
      <c r="E74" s="27">
        <f>IFERROR(INDEX(Base!$K$3:$K$980,MATCH($K74,Base!$B$3:$B$980,0)),"sem estoque")</f>
        <v>78</v>
      </c>
      <c r="F74" s="27">
        <f>INDEX(Base!$L$3:$L$980,MATCH($K74,Base!$B$3:$B$980,0))</f>
        <v>5.68822910721501</v>
      </c>
      <c r="G74" s="28">
        <f>INDEX(Base!$M$3:$M$980,MATCH($K74,Base!$B$3:$B$980,0))</f>
        <v>13.712527841233394</v>
      </c>
      <c r="H74" s="28">
        <f>INDEX(Base!$N$3:$N$980,MATCH($K74,Base!$B$3:$B$980,0))</f>
        <v>16</v>
      </c>
      <c r="I74" s="28">
        <f>INDEX(Base!$O$3:$O$980,MATCH($K74,Base!$B$3:$B$980,0))</f>
        <v>13.712527841233394</v>
      </c>
      <c r="J74" s="29"/>
      <c r="K74" s="30" t="s">
        <v>198</v>
      </c>
    </row>
    <row r="75" spans="2:11" ht="14.25" customHeight="1" outlineLevel="1" x14ac:dyDescent="0.35">
      <c r="B75" s="24" t="str">
        <f>INDEX(Base!$H$3:$H$980,MATCH($K75,Base!$B$3:$B$980,0))</f>
        <v xml:space="preserve"> GUARDANAPO EMBALADO BK 20X30 CX 2400 UND </v>
      </c>
      <c r="C75" s="25" t="str">
        <f>IFERROR(IF(INDEX(Base!$I$3:$I$980,MATCH($K75,Base!$B$3:$B$980,0))="","",INDEX(Base!$I$3:$I$980,MATCH($K75,Base!$B$3:$B$980,0))),"sem fornecedor")</f>
        <v>TRENIER</v>
      </c>
      <c r="D75" s="26">
        <f>INDEX(Base!$E$3:$E$980,MATCH($K75,Base!$B$3:$B$980,0))</f>
        <v>201030000128</v>
      </c>
      <c r="E75" s="27">
        <f>IFERROR(INDEX(Base!$K$3:$K$980,MATCH($K75,Base!$B$3:$B$980,0)),"sem estoque")</f>
        <v>19</v>
      </c>
      <c r="F75" s="27">
        <f>INDEX(Base!$L$3:$L$980,MATCH($K75,Base!$B$3:$B$980,0))</f>
        <v>1.12353402689309</v>
      </c>
      <c r="G75" s="28">
        <f>INDEX(Base!$M$3:$M$980,MATCH($K75,Base!$B$3:$B$980,0))</f>
        <v>16.910925299290422</v>
      </c>
      <c r="H75" s="28">
        <f>INDEX(Base!$N$3:$N$980,MATCH($K75,Base!$B$3:$B$980,0))</f>
        <v>16</v>
      </c>
      <c r="I75" s="28">
        <f>INDEX(Base!$O$3:$O$980,MATCH($K75,Base!$B$3:$B$980,0))</f>
        <v>16</v>
      </c>
      <c r="J75" s="29"/>
      <c r="K75" s="30" t="s">
        <v>199</v>
      </c>
    </row>
    <row r="76" spans="2:11" ht="14.25" customHeight="1" outlineLevel="1" x14ac:dyDescent="0.35">
      <c r="B76" s="24" t="str">
        <f>INDEX(Base!$H$3:$H$980,MATCH($K76,Base!$B$3:$B$980,0))</f>
        <v xml:space="preserve"> GUARDANAPO SORVETE BK 20 X 20 CX 5000 UND </v>
      </c>
      <c r="C76" s="25" t="str">
        <f>IFERROR(IF(INDEX(Base!$I$3:$I$980,MATCH($K76,Base!$B$3:$B$980,0))="","",INDEX(Base!$I$3:$I$980,MATCH($K76,Base!$B$3:$B$980,0))),"sem fornecedor")</f>
        <v>TRENIER</v>
      </c>
      <c r="D76" s="26">
        <f>INDEX(Base!$E$3:$E$980,MATCH($K76,Base!$B$3:$B$980,0))</f>
        <v>201030000129</v>
      </c>
      <c r="E76" s="27">
        <f>IFERROR(INDEX(Base!$K$3:$K$980,MATCH($K76,Base!$B$3:$B$980,0)),"sem estoque")</f>
        <v>202</v>
      </c>
      <c r="F76" s="27">
        <f>INDEX(Base!$L$3:$L$980,MATCH($K76,Base!$B$3:$B$980,0))</f>
        <v>3.82831577592269</v>
      </c>
      <c r="G76" s="28">
        <f>INDEX(Base!$M$3:$M$980,MATCH($K76,Base!$B$3:$B$980,0))</f>
        <v>52.764717390982334</v>
      </c>
      <c r="H76" s="28">
        <f>INDEX(Base!$N$3:$N$980,MATCH($K76,Base!$B$3:$B$980,0))</f>
        <v>18</v>
      </c>
      <c r="I76" s="28">
        <f>INDEX(Base!$O$3:$O$980,MATCH($K76,Base!$B$3:$B$980,0))</f>
        <v>18</v>
      </c>
      <c r="J76" s="29"/>
      <c r="K76" s="30" t="s">
        <v>200</v>
      </c>
    </row>
    <row r="77" spans="2:11" ht="14.25" customHeight="1" outlineLevel="1" x14ac:dyDescent="0.35">
      <c r="B77" s="24" t="str">
        <f>INDEX(Base!$H$3:$H$980,MATCH($K77,Base!$B$3:$B$980,0))</f>
        <v xml:space="preserve"> COPO SHAKE 400 ML POLIPAPEL BK CX 900 UND </v>
      </c>
      <c r="C77" s="25" t="str">
        <f>IFERROR(IF(INDEX(Base!$I$3:$I$980,MATCH($K77,Base!$B$3:$B$980,0))="","",INDEX(Base!$I$3:$I$980,MATCH($K77,Base!$B$3:$B$980,0))),"sem fornecedor")</f>
        <v>ALTACOPPO</v>
      </c>
      <c r="D77" s="26">
        <f>INDEX(Base!$E$3:$E$980,MATCH($K77,Base!$B$3:$B$980,0))</f>
        <v>201030000415</v>
      </c>
      <c r="E77" s="27">
        <f>IFERROR(INDEX(Base!$K$3:$K$980,MATCH($K77,Base!$B$3:$B$980,0)),"sem estoque")</f>
        <v>0</v>
      </c>
      <c r="F77" s="27">
        <f>INDEX(Base!$L$3:$L$980,MATCH($K77,Base!$B$3:$B$980,0))</f>
        <v>2.6006936896625401</v>
      </c>
      <c r="G77" s="28">
        <f>INDEX(Base!$M$3:$M$980,MATCH($K77,Base!$B$3:$B$980,0))</f>
        <v>0</v>
      </c>
      <c r="H77" s="28">
        <f>INDEX(Base!$N$3:$N$980,MATCH($K77,Base!$B$3:$B$980,0))</f>
        <v>32</v>
      </c>
      <c r="I77" s="28">
        <f>INDEX(Base!$O$3:$O$980,MATCH($K77,Base!$B$3:$B$980,0))</f>
        <v>0</v>
      </c>
      <c r="J77" s="29"/>
      <c r="K77" s="30" t="s">
        <v>201</v>
      </c>
    </row>
    <row r="78" spans="2:11" ht="14.25" customHeight="1" outlineLevel="1" x14ac:dyDescent="0.35">
      <c r="B78" s="24" t="str">
        <f>INDEX(Base!$H$3:$H$980,MATCH($K78,Base!$B$3:$B$980,0))</f>
        <v xml:space="preserve"> COPO CORTESIA BIO 200ML BK CX 2000 UND </v>
      </c>
      <c r="C78" s="25" t="str">
        <f>IFERROR(IF(INDEX(Base!$I$3:$I$980,MATCH($K78,Base!$B$3:$B$980,0))="","",INDEX(Base!$I$3:$I$980,MATCH($K78,Base!$B$3:$B$980,0))),"sem fornecedor")</f>
        <v>ALTACOPPO</v>
      </c>
      <c r="D78" s="26">
        <f>INDEX(Base!$E$3:$E$980,MATCH($K78,Base!$B$3:$B$980,0))</f>
        <v>201030000405</v>
      </c>
      <c r="E78" s="27">
        <f>IFERROR(INDEX(Base!$K$3:$K$980,MATCH($K78,Base!$B$3:$B$980,0)),"sem estoque")</f>
        <v>0</v>
      </c>
      <c r="F78" s="27">
        <f>INDEX(Base!$L$3:$L$980,MATCH($K78,Base!$B$3:$B$980,0))</f>
        <v>1.15561213709677</v>
      </c>
      <c r="G78" s="28">
        <f>INDEX(Base!$M$3:$M$980,MATCH($K78,Base!$B$3:$B$980,0))</f>
        <v>0</v>
      </c>
      <c r="H78" s="28">
        <f>INDEX(Base!$N$3:$N$980,MATCH($K78,Base!$B$3:$B$980,0))</f>
        <v>20</v>
      </c>
      <c r="I78" s="28">
        <f>INDEX(Base!$O$3:$O$980,MATCH($K78,Base!$B$3:$B$980,0))</f>
        <v>0</v>
      </c>
      <c r="J78" s="29"/>
      <c r="K78" s="30" t="s">
        <v>202</v>
      </c>
    </row>
    <row r="79" spans="2:11" ht="14.25" customHeight="1" outlineLevel="1" x14ac:dyDescent="0.35">
      <c r="B79" s="24" t="str">
        <f>INDEX(Base!$H$3:$H$980,MATCH($K79,Base!$B$3:$B$980,0))</f>
        <v xml:space="preserve"> FUNDO BATATA SUPREMA MEDIA CX 600 UN </v>
      </c>
      <c r="C79" s="25" t="str">
        <f>IFERROR(IF(INDEX(Base!$I$3:$I$980,MATCH($K79,Base!$B$3:$B$980,0))="","",INDEX(Base!$I$3:$I$980,MATCH($K79,Base!$B$3:$B$980,0))),"sem fornecedor")</f>
        <v>INNOVAPACK</v>
      </c>
      <c r="D79" s="26">
        <f>INDEX(Base!$E$3:$E$980,MATCH($K79,Base!$B$3:$B$980,0))</f>
        <v>201030000259</v>
      </c>
      <c r="E79" s="27">
        <f>IFERROR(INDEX(Base!$K$3:$K$980,MATCH($K79,Base!$B$3:$B$980,0)),"sem estoque")</f>
        <v>52</v>
      </c>
      <c r="F79" s="27">
        <f>INDEX(Base!$L$3:$L$980,MATCH($K79,Base!$B$3:$B$980,0))</f>
        <v>1.21503571710515</v>
      </c>
      <c r="G79" s="28">
        <f>INDEX(Base!$M$3:$M$980,MATCH($K79,Base!$B$3:$B$980,0))</f>
        <v>42.797095812040133</v>
      </c>
      <c r="H79" s="28">
        <f>INDEX(Base!$N$3:$N$980,MATCH($K79,Base!$B$3:$B$980,0))</f>
        <v>17</v>
      </c>
      <c r="I79" s="28">
        <f>INDEX(Base!$O$3:$O$980,MATCH($K79,Base!$B$3:$B$980,0))</f>
        <v>17</v>
      </c>
      <c r="J79" s="29"/>
      <c r="K79" s="30" t="s">
        <v>203</v>
      </c>
    </row>
    <row r="80" spans="2:11" ht="14.25" customHeight="1" outlineLevel="1" x14ac:dyDescent="0.35">
      <c r="B80" s="24" t="str">
        <f>INDEX(Base!$H$3:$H$980,MATCH($K80,Base!$B$3:$B$980,0))</f>
        <v xml:space="preserve"> COPO SHAKE 440ML CX 900 UND </v>
      </c>
      <c r="C80" s="25" t="str">
        <f>IFERROR(IF(INDEX(Base!$I$3:$I$980,MATCH($K80,Base!$B$3:$B$980,0))="","",INDEX(Base!$I$3:$I$980,MATCH($K80,Base!$B$3:$B$980,0))),"sem fornecedor")</f>
        <v>ALTACOPPO</v>
      </c>
      <c r="D80" s="26">
        <f>INDEX(Base!$E$3:$E$980,MATCH($K80,Base!$B$3:$B$980,0))</f>
        <v>201030000292</v>
      </c>
      <c r="E80" s="27">
        <f>IFERROR(INDEX(Base!$K$3:$K$980,MATCH($K80,Base!$B$3:$B$980,0)),"sem estoque")</f>
        <v>50</v>
      </c>
      <c r="F80" s="27">
        <f>INDEX(Base!$L$3:$L$980,MATCH($K80,Base!$B$3:$B$980,0))</f>
        <v>7.0621774193548399</v>
      </c>
      <c r="G80" s="28">
        <f>INDEX(Base!$M$3:$M$980,MATCH($K80,Base!$B$3:$B$980,0))</f>
        <v>7.0799693962613182</v>
      </c>
      <c r="H80" s="28">
        <f>INDEX(Base!$N$3:$N$980,MATCH($K80,Base!$B$3:$B$980,0))</f>
        <v>28</v>
      </c>
      <c r="I80" s="28">
        <f>INDEX(Base!$O$3:$O$980,MATCH($K80,Base!$B$3:$B$980,0))</f>
        <v>7.0799693962613182</v>
      </c>
      <c r="J80" s="29"/>
      <c r="K80" s="30" t="s">
        <v>204</v>
      </c>
    </row>
    <row r="81" spans="2:11" ht="14.25" customHeight="1" outlineLevel="1" x14ac:dyDescent="0.35">
      <c r="B81" s="24" t="str">
        <f>INDEX(Base!$H$3:$H$980,MATCH($K81,Base!$B$3:$B$980,0))</f>
        <v xml:space="preserve"> COPO SUNDAE BK BLISTER 200ML CX 1000UN </v>
      </c>
      <c r="C81" s="25" t="str">
        <f>IFERROR(IF(INDEX(Base!$I$3:$I$980,MATCH($K81,Base!$B$3:$B$980,0))="","",INDEX(Base!$I$3:$I$980,MATCH($K81,Base!$B$3:$B$980,0))),"sem fornecedor")</f>
        <v>BLISTER</v>
      </c>
      <c r="D81" s="26">
        <f>INDEX(Base!$E$3:$E$980,MATCH($K81,Base!$B$3:$B$980,0))</f>
        <v>201030000120</v>
      </c>
      <c r="E81" s="27">
        <f>IFERROR(INDEX(Base!$K$3:$K$980,MATCH($K81,Base!$B$3:$B$980,0)),"sem estoque")</f>
        <v>102</v>
      </c>
      <c r="F81" s="27">
        <f>INDEX(Base!$L$3:$L$980,MATCH($K81,Base!$B$3:$B$980,0))</f>
        <v>2.1625806451612899</v>
      </c>
      <c r="G81" s="28">
        <f>INDEX(Base!$M$3:$M$980,MATCH($K81,Base!$B$3:$B$980,0))</f>
        <v>47.165871121718389</v>
      </c>
      <c r="H81" s="28">
        <f>INDEX(Base!$N$3:$N$980,MATCH($K81,Base!$B$3:$B$980,0))</f>
        <v>20</v>
      </c>
      <c r="I81" s="28">
        <f>INDEX(Base!$O$3:$O$980,MATCH($K81,Base!$B$3:$B$980,0))</f>
        <v>20</v>
      </c>
      <c r="J81" s="29"/>
      <c r="K81" s="30" t="s">
        <v>205</v>
      </c>
    </row>
    <row r="82" spans="2:11" ht="14.25" customHeight="1" outlineLevel="1" x14ac:dyDescent="0.35">
      <c r="B82" s="24" t="str">
        <f>INDEX(Base!$H$3:$H$980,MATCH($K82,Base!$B$3:$B$980,0))</f>
        <v xml:space="preserve"> SAQUINHO DE BATATA BK 22X11FD 6000UND </v>
      </c>
      <c r="C82" s="25" t="str">
        <f>IFERROR(IF(INDEX(Base!$I$3:$I$980,MATCH($K82,Base!$B$3:$B$980,0))="","",INDEX(Base!$I$3:$I$980,MATCH($K82,Base!$B$3:$B$980,0))),"sem fornecedor")</f>
        <v>TRENIER</v>
      </c>
      <c r="D82" s="26">
        <f>INDEX(Base!$E$3:$E$980,MATCH($K82,Base!$B$3:$B$980,0))</f>
        <v>201030000435</v>
      </c>
      <c r="E82" s="27">
        <f>IFERROR(INDEX(Base!$K$3:$K$980,MATCH($K82,Base!$B$3:$B$980,0)),"sem estoque")</f>
        <v>52</v>
      </c>
      <c r="F82" s="27">
        <f>INDEX(Base!$L$3:$L$980,MATCH($K82,Base!$B$3:$B$980,0))</f>
        <v>1.38349894858497</v>
      </c>
      <c r="G82" s="28">
        <f>INDEX(Base!$M$3:$M$980,MATCH($K82,Base!$B$3:$B$980,0))</f>
        <v>37.585861596197901</v>
      </c>
      <c r="H82" s="28">
        <f>INDEX(Base!$N$3:$N$980,MATCH($K82,Base!$B$3:$B$980,0))</f>
        <v>22</v>
      </c>
      <c r="I82" s="28">
        <f>INDEX(Base!$O$3:$O$980,MATCH($K82,Base!$B$3:$B$980,0))</f>
        <v>22</v>
      </c>
      <c r="J82" s="29"/>
      <c r="K82" s="30" t="s">
        <v>206</v>
      </c>
    </row>
    <row r="83" spans="2:11" ht="14.25" customHeight="1" outlineLevel="1" x14ac:dyDescent="0.35">
      <c r="B83" s="24" t="str">
        <f>INDEX(Base!$H$3:$H$980,MATCH($K83,Base!$B$3:$B$980,0))</f>
        <v xml:space="preserve"> PAZINHA SORVETE BK CX 3000UN BRANCA </v>
      </c>
      <c r="C83" s="25" t="str">
        <f>IFERROR(IF(INDEX(Base!$I$3:$I$980,MATCH($K83,Base!$B$3:$B$980,0))="","",INDEX(Base!$I$3:$I$980,MATCH($K83,Base!$B$3:$B$980,0))),"sem fornecedor")</f>
        <v>SERT PLAST</v>
      </c>
      <c r="D83" s="26">
        <f>INDEX(Base!$E$3:$E$980,MATCH($K83,Base!$B$3:$B$980,0))</f>
        <v>201030000144</v>
      </c>
      <c r="E83" s="27">
        <f>IFERROR(INDEX(Base!$K$3:$K$980,MATCH($K83,Base!$B$3:$B$980,0)),"sem estoque")</f>
        <v>18</v>
      </c>
      <c r="F83" s="27">
        <f>INDEX(Base!$L$3:$L$980,MATCH($K83,Base!$B$3:$B$980,0))</f>
        <v>2.5372313018016599</v>
      </c>
      <c r="G83" s="28">
        <f>INDEX(Base!$M$3:$M$980,MATCH($K83,Base!$B$3:$B$980,0))</f>
        <v>7.0943472860430186</v>
      </c>
      <c r="H83" s="28">
        <f>INDEX(Base!$N$3:$N$980,MATCH($K83,Base!$B$3:$B$980,0))</f>
        <v>19</v>
      </c>
      <c r="I83" s="28">
        <f>INDEX(Base!$O$3:$O$980,MATCH($K83,Base!$B$3:$B$980,0))</f>
        <v>7.0943472860430186</v>
      </c>
      <c r="J83" s="29"/>
      <c r="K83" s="30" t="s">
        <v>207</v>
      </c>
    </row>
    <row r="84" spans="2:11" ht="14.25" customHeight="1" outlineLevel="1" x14ac:dyDescent="0.35">
      <c r="B84" s="24" t="str">
        <f>INDEX(Base!$H$3:$H$980,MATCH($K84,Base!$B$3:$B$980,0))</f>
        <v xml:space="preserve"> POTE BK 240ML MOLHAO CX C/600UN </v>
      </c>
      <c r="C84" s="25" t="str">
        <f>IFERROR(IF(INDEX(Base!$I$3:$I$980,MATCH($K84,Base!$B$3:$B$980,0))="","",INDEX(Base!$I$3:$I$980,MATCH($K84,Base!$B$3:$B$980,0))),"sem fornecedor")</f>
        <v>TUICIAL</v>
      </c>
      <c r="D84" s="26">
        <f>INDEX(Base!$E$3:$E$980,MATCH($K84,Base!$B$3:$B$980,0))</f>
        <v>221000000791</v>
      </c>
      <c r="E84" s="27">
        <f>IFERROR(INDEX(Base!$K$3:$K$980,MATCH($K84,Base!$B$3:$B$980,0)),"sem estoque")</f>
        <v>25</v>
      </c>
      <c r="F84" s="27">
        <f>INDEX(Base!$L$3:$L$980,MATCH($K84,Base!$B$3:$B$980,0))</f>
        <v>0.77196081532711003</v>
      </c>
      <c r="G84" s="28">
        <f>INDEX(Base!$M$3:$M$980,MATCH($K84,Base!$B$3:$B$980,0))</f>
        <v>32.385063469065486</v>
      </c>
      <c r="H84" s="28">
        <f>INDEX(Base!$N$3:$N$980,MATCH($K84,Base!$B$3:$B$980,0))</f>
        <v>15</v>
      </c>
      <c r="I84" s="28">
        <f>INDEX(Base!$O$3:$O$980,MATCH($K84,Base!$B$3:$B$980,0))</f>
        <v>15</v>
      </c>
      <c r="J84" s="29"/>
      <c r="K84" s="30" t="s">
        <v>208</v>
      </c>
    </row>
    <row r="85" spans="2:11" ht="14.25" customHeight="1" outlineLevel="1" x14ac:dyDescent="0.35">
      <c r="B85" s="24" t="str">
        <f>INDEX(Base!$H$3:$H$980,MATCH($K85,Base!$B$3:$B$980,0))</f>
        <v xml:space="preserve"> TAMPA POTE BK 240ML MOLHAO CX C/600UN </v>
      </c>
      <c r="C85" s="25" t="str">
        <f>IFERROR(IF(INDEX(Base!$I$3:$I$980,MATCH($K85,Base!$B$3:$B$980,0))="","",INDEX(Base!$I$3:$I$980,MATCH($K85,Base!$B$3:$B$980,0))),"sem fornecedor")</f>
        <v>TUICIAL</v>
      </c>
      <c r="D85" s="26">
        <f>INDEX(Base!$E$3:$E$980,MATCH($K85,Base!$B$3:$B$980,0))</f>
        <v>221000000782</v>
      </c>
      <c r="E85" s="27">
        <f>IFERROR(INDEX(Base!$K$3:$K$980,MATCH($K85,Base!$B$3:$B$980,0)),"sem estoque")</f>
        <v>20</v>
      </c>
      <c r="F85" s="27">
        <f>INDEX(Base!$L$3:$L$980,MATCH($K85,Base!$B$3:$B$980,0))</f>
        <v>0.63275476666156605</v>
      </c>
      <c r="G85" s="28">
        <f>INDEX(Base!$M$3:$M$980,MATCH($K85,Base!$B$3:$B$980,0))</f>
        <v>31.607821945807892</v>
      </c>
      <c r="H85" s="28">
        <f>INDEX(Base!$N$3:$N$980,MATCH($K85,Base!$B$3:$B$980,0))</f>
        <v>15</v>
      </c>
      <c r="I85" s="28">
        <f>INDEX(Base!$O$3:$O$980,MATCH($K85,Base!$B$3:$B$980,0))</f>
        <v>15</v>
      </c>
      <c r="J85" s="29"/>
      <c r="K85" s="30" t="s">
        <v>209</v>
      </c>
    </row>
    <row r="86" spans="2:11" ht="14.25" customHeight="1" outlineLevel="1" x14ac:dyDescent="0.35">
      <c r="B86" s="24" t="str">
        <f>INDEX(Base!$H$3:$H$980,MATCH($K86,Base!$B$3:$B$980,0))</f>
        <v xml:space="preserve"> COPO SHAKE 440ML BIO BK CX 900UN </v>
      </c>
      <c r="C86" s="25" t="str">
        <f>IFERROR(IF(INDEX(Base!$I$3:$I$980,MATCH($K86,Base!$B$3:$B$980,0))="","",INDEX(Base!$I$3:$I$980,MATCH($K86,Base!$B$3:$B$980,0))),"sem fornecedor")</f>
        <v>ALTACOPPO</v>
      </c>
      <c r="D86" s="26">
        <f>INDEX(Base!$E$3:$E$980,MATCH($K86,Base!$B$3:$B$980,0))</f>
        <v>201030000406</v>
      </c>
      <c r="E86" s="27">
        <f>IFERROR(INDEX(Base!$K$3:$K$980,MATCH($K86,Base!$B$3:$B$980,0)),"sem estoque")</f>
        <v>-1</v>
      </c>
      <c r="F86" s="27">
        <f>INDEX(Base!$L$3:$L$980,MATCH($K86,Base!$B$3:$B$980,0))</f>
        <v>0</v>
      </c>
      <c r="G86" s="28">
        <f>INDEX(Base!$M$3:$M$980,MATCH($K86,Base!$B$3:$B$980,0))</f>
        <v>0</v>
      </c>
      <c r="H86" s="28">
        <f>INDEX(Base!$N$3:$N$980,MATCH($K86,Base!$B$3:$B$980,0))</f>
        <v>20</v>
      </c>
      <c r="I86" s="28">
        <f>INDEX(Base!$O$3:$O$980,MATCH($K86,Base!$B$3:$B$980,0))</f>
        <v>0</v>
      </c>
      <c r="J86" s="29"/>
      <c r="K86" s="30" t="s">
        <v>210</v>
      </c>
    </row>
    <row r="87" spans="2:11" ht="14.25" customHeight="1" outlineLevel="1" x14ac:dyDescent="0.35">
      <c r="B87" s="24" t="str">
        <f>INDEX(Base!$H$3:$H$980,MATCH($K87,Base!$B$3:$B$980,0))</f>
        <v xml:space="preserve"> FUNDO BATATA SUPREMA GRANDE CX 350 UN </v>
      </c>
      <c r="C87" s="25" t="str">
        <f>IFERROR(IF(INDEX(Base!$I$3:$I$980,MATCH($K87,Base!$B$3:$B$980,0))="","",INDEX(Base!$I$3:$I$980,MATCH($K87,Base!$B$3:$B$980,0))),"sem fornecedor")</f>
        <v>INNOVAPACK</v>
      </c>
      <c r="D87" s="26">
        <f>INDEX(Base!$E$3:$E$980,MATCH($K87,Base!$B$3:$B$980,0))</f>
        <v>201030000261</v>
      </c>
      <c r="E87" s="27">
        <f>IFERROR(INDEX(Base!$K$3:$K$980,MATCH($K87,Base!$B$3:$B$980,0)),"sem estoque")</f>
        <v>9</v>
      </c>
      <c r="F87" s="27">
        <f>INDEX(Base!$L$3:$L$980,MATCH($K87,Base!$B$3:$B$980,0))</f>
        <v>0.42337617697359597</v>
      </c>
      <c r="G87" s="28">
        <f>INDEX(Base!$M$3:$M$980,MATCH($K87,Base!$B$3:$B$980,0))</f>
        <v>21.257691125500642</v>
      </c>
      <c r="H87" s="28">
        <f>INDEX(Base!$N$3:$N$980,MATCH($K87,Base!$B$3:$B$980,0))</f>
        <v>30</v>
      </c>
      <c r="I87" s="28">
        <f>INDEX(Base!$O$3:$O$980,MATCH($K87,Base!$B$3:$B$980,0))</f>
        <v>21.257691125500642</v>
      </c>
      <c r="J87" s="29"/>
      <c r="K87" s="30" t="s">
        <v>211</v>
      </c>
    </row>
    <row r="88" spans="2:11" ht="14.25" customHeight="1" outlineLevel="1" x14ac:dyDescent="0.35">
      <c r="B88" s="24" t="str">
        <f>INDEX(Base!$H$3:$H$980,MATCH($K88,Base!$B$3:$B$980,0))</f>
        <v xml:space="preserve"> GARFO SOBREMESA CX 1000 UND </v>
      </c>
      <c r="C88" s="25" t="str">
        <f>IFERROR(IF(INDEX(Base!$I$3:$I$980,MATCH($K88,Base!$B$3:$B$980,0))="","",INDEX(Base!$I$3:$I$980,MATCH($K88,Base!$B$3:$B$980,0))),"sem fornecedor")</f>
        <v>SERT PLAST</v>
      </c>
      <c r="D88" s="26">
        <f>INDEX(Base!$E$3:$E$980,MATCH($K88,Base!$B$3:$B$980,0))</f>
        <v>201030000126</v>
      </c>
      <c r="E88" s="27">
        <f>IFERROR(INDEX(Base!$K$3:$K$980,MATCH($K88,Base!$B$3:$B$980,0)),"sem estoque")</f>
        <v>20</v>
      </c>
      <c r="F88" s="27">
        <f>INDEX(Base!$L$3:$L$980,MATCH($K88,Base!$B$3:$B$980,0))</f>
        <v>0.497258387096775</v>
      </c>
      <c r="G88" s="28">
        <f>INDEX(Base!$M$3:$M$980,MATCH($K88,Base!$B$3:$B$980,0))</f>
        <v>40.220538293520342</v>
      </c>
      <c r="H88" s="28">
        <f>INDEX(Base!$N$3:$N$980,MATCH($K88,Base!$B$3:$B$980,0))</f>
        <v>18</v>
      </c>
      <c r="I88" s="28">
        <f>INDEX(Base!$O$3:$O$980,MATCH($K88,Base!$B$3:$B$980,0))</f>
        <v>18</v>
      </c>
      <c r="J88" s="29"/>
      <c r="K88" s="30" t="s">
        <v>212</v>
      </c>
    </row>
    <row r="89" spans="2:11" ht="14.25" customHeight="1" outlineLevel="1" x14ac:dyDescent="0.35">
      <c r="B89" s="24" t="str">
        <f>INDEX(Base!$H$3:$H$980,MATCH($K89,Base!$B$3:$B$980,0))</f>
        <v xml:space="preserve"> KIT GARFO/FACA EMBALADOS </v>
      </c>
      <c r="C89" s="25" t="str">
        <f>IFERROR(IF(INDEX(Base!$I$3:$I$980,MATCH($K89,Base!$B$3:$B$980,0))="","",INDEX(Base!$I$3:$I$980,MATCH($K89,Base!$B$3:$B$980,0))),"sem fornecedor")</f>
        <v>SERT PLAST</v>
      </c>
      <c r="D89" s="26">
        <f>INDEX(Base!$E$3:$E$980,MATCH($K89,Base!$B$3:$B$980,0))</f>
        <v>201030000130</v>
      </c>
      <c r="E89" s="27">
        <f>IFERROR(INDEX(Base!$K$3:$K$980,MATCH($K89,Base!$B$3:$B$980,0)),"sem estoque")</f>
        <v>22</v>
      </c>
      <c r="F89" s="27">
        <f>INDEX(Base!$L$3:$L$980,MATCH($K89,Base!$B$3:$B$980,0))</f>
        <v>0</v>
      </c>
      <c r="G89" s="28">
        <f>INDEX(Base!$M$3:$M$980,MATCH($K89,Base!$B$3:$B$980,0))</f>
        <v>0</v>
      </c>
      <c r="H89" s="28">
        <f>INDEX(Base!$N$3:$N$980,MATCH($K89,Base!$B$3:$B$980,0))</f>
        <v>17</v>
      </c>
      <c r="I89" s="28">
        <f>INDEX(Base!$O$3:$O$980,MATCH($K89,Base!$B$3:$B$980,0))</f>
        <v>0</v>
      </c>
      <c r="J89" s="29"/>
      <c r="K89" s="30" t="s">
        <v>213</v>
      </c>
    </row>
    <row r="90" spans="2:11" ht="14.25" customHeight="1" outlineLevel="1" x14ac:dyDescent="0.35">
      <c r="B90" s="24" t="str">
        <f>INDEX(Base!$H$3:$H$980,MATCH($K90,Base!$B$3:$B$980,0))</f>
        <v xml:space="preserve"> TAMPA BALDE BK 900ML CX 1000UN </v>
      </c>
      <c r="C90" s="25" t="str">
        <f>IFERROR(IF(INDEX(Base!$I$3:$I$980,MATCH($K90,Base!$B$3:$B$980,0))="","",INDEX(Base!$I$3:$I$980,MATCH($K90,Base!$B$3:$B$980,0))),"sem fornecedor")</f>
        <v>BO PACK</v>
      </c>
      <c r="D90" s="26">
        <f>INDEX(Base!$E$3:$E$980,MATCH($K90,Base!$B$3:$B$980,0))</f>
        <v>201030000409</v>
      </c>
      <c r="E90" s="27">
        <f>IFERROR(INDEX(Base!$K$3:$K$980,MATCH($K90,Base!$B$3:$B$980,0)),"sem estoque")</f>
        <v>46</v>
      </c>
      <c r="F90" s="27">
        <f>INDEX(Base!$L$3:$L$980,MATCH($K90,Base!$B$3:$B$980,0))</f>
        <v>0.58170040322580696</v>
      </c>
      <c r="G90" s="28">
        <f>INDEX(Base!$M$3:$M$980,MATCH($K90,Base!$B$3:$B$980,0))</f>
        <v>79.078508017027318</v>
      </c>
      <c r="H90" s="28">
        <f>INDEX(Base!$N$3:$N$980,MATCH($K90,Base!$B$3:$B$980,0))</f>
        <v>27</v>
      </c>
      <c r="I90" s="28">
        <f>INDEX(Base!$O$3:$O$980,MATCH($K90,Base!$B$3:$B$980,0))</f>
        <v>27</v>
      </c>
      <c r="J90" s="29"/>
      <c r="K90" s="30" t="s">
        <v>214</v>
      </c>
    </row>
    <row r="91" spans="2:11" ht="14.25" customHeight="1" outlineLevel="1" x14ac:dyDescent="0.35">
      <c r="B91" s="24" t="str">
        <f>INDEX(Base!$H$3:$H$980,MATCH($K91,Base!$B$3:$B$980,0))</f>
        <v xml:space="preserve"> TAMPA BATATA SUPREMA MEDIA CX 350 UND </v>
      </c>
      <c r="C91" s="25" t="str">
        <f>IFERROR(IF(INDEX(Base!$I$3:$I$980,MATCH($K91,Base!$B$3:$B$980,0))="","",INDEX(Base!$I$3:$I$980,MATCH($K91,Base!$B$3:$B$980,0))),"sem fornecedor")</f>
        <v>INNOVAPACK</v>
      </c>
      <c r="D91" s="26">
        <f>INDEX(Base!$E$3:$E$980,MATCH($K91,Base!$B$3:$B$980,0))</f>
        <v>201030000258</v>
      </c>
      <c r="E91" s="27">
        <f>IFERROR(INDEX(Base!$K$3:$K$980,MATCH($K91,Base!$B$3:$B$980,0)),"sem estoque")</f>
        <v>13</v>
      </c>
      <c r="F91" s="27">
        <f>INDEX(Base!$L$3:$L$980,MATCH($K91,Base!$B$3:$B$980,0))</f>
        <v>0.389301884558375</v>
      </c>
      <c r="G91" s="28">
        <f>INDEX(Base!$M$3:$M$980,MATCH($K91,Base!$B$3:$B$980,0))</f>
        <v>33.393108319388773</v>
      </c>
      <c r="H91" s="28">
        <f>INDEX(Base!$N$3:$N$980,MATCH($K91,Base!$B$3:$B$980,0))</f>
        <v>48</v>
      </c>
      <c r="I91" s="28">
        <f>INDEX(Base!$O$3:$O$980,MATCH($K91,Base!$B$3:$B$980,0))</f>
        <v>33.393108319388773</v>
      </c>
      <c r="J91" s="29"/>
      <c r="K91" s="30" t="s">
        <v>215</v>
      </c>
    </row>
    <row r="92" spans="2:11" ht="14.25" customHeight="1" outlineLevel="1" x14ac:dyDescent="0.35">
      <c r="B92" s="24" t="str">
        <f>INDEX(Base!$H$3:$H$980,MATCH($K92,Base!$B$3:$B$980,0))</f>
        <v xml:space="preserve"> TAMPA BATATA SUPREMA GRANDE CX 350 UND </v>
      </c>
      <c r="C92" s="25" t="str">
        <f>IFERROR(IF(INDEX(Base!$I$3:$I$980,MATCH($K92,Base!$B$3:$B$980,0))="","",INDEX(Base!$I$3:$I$980,MATCH($K92,Base!$B$3:$B$980,0))),"sem fornecedor")</f>
        <v>INNOVAPACK</v>
      </c>
      <c r="D92" s="26">
        <f>INDEX(Base!$E$3:$E$980,MATCH($K92,Base!$B$3:$B$980,0))</f>
        <v>201030000260</v>
      </c>
      <c r="E92" s="27">
        <f>IFERROR(INDEX(Base!$K$3:$K$980,MATCH($K92,Base!$B$3:$B$980,0)),"sem estoque")</f>
        <v>5</v>
      </c>
      <c r="F92" s="27">
        <f>INDEX(Base!$L$3:$L$980,MATCH($K92,Base!$B$3:$B$980,0))</f>
        <v>0.16038378199976999</v>
      </c>
      <c r="G92" s="28">
        <f>INDEX(Base!$M$3:$M$980,MATCH($K92,Base!$B$3:$B$980,0))</f>
        <v>31.175221943620027</v>
      </c>
      <c r="H92" s="28">
        <f>INDEX(Base!$N$3:$N$980,MATCH($K92,Base!$B$3:$B$980,0))</f>
        <v>23</v>
      </c>
      <c r="I92" s="28">
        <f>INDEX(Base!$O$3:$O$980,MATCH($K92,Base!$B$3:$B$980,0))</f>
        <v>23</v>
      </c>
      <c r="J92" s="29"/>
      <c r="K92" s="30" t="s">
        <v>216</v>
      </c>
    </row>
    <row r="93" spans="2:11" ht="14.25" customHeight="1" outlineLevel="1" x14ac:dyDescent="0.35">
      <c r="B93" s="24" t="str">
        <f>INDEX(Base!$H$3:$H$980,MATCH($K93,Base!$B$3:$B$980,0))</f>
        <v xml:space="preserve"> TAMPA SUNDAE BK CX C/1200 UND </v>
      </c>
      <c r="C93" s="25" t="str">
        <f>IFERROR(IF(INDEX(Base!$I$3:$I$980,MATCH($K93,Base!$B$3:$B$980,0))="","",INDEX(Base!$I$3:$I$980,MATCH($K93,Base!$B$3:$B$980,0))),"sem fornecedor")</f>
        <v>BLISTER</v>
      </c>
      <c r="D93" s="26">
        <f>INDEX(Base!$E$3:$E$980,MATCH($K93,Base!$B$3:$B$980,0))</f>
        <v>201030000199</v>
      </c>
      <c r="E93" s="27">
        <f>IFERROR(INDEX(Base!$K$3:$K$980,MATCH($K93,Base!$B$3:$B$980,0)),"sem estoque")</f>
        <v>9</v>
      </c>
      <c r="F93" s="27">
        <f>INDEX(Base!$L$3:$L$980,MATCH($K93,Base!$B$3:$B$980,0))</f>
        <v>0.12375705640211</v>
      </c>
      <c r="G93" s="28">
        <f>INDEX(Base!$M$3:$M$980,MATCH($K93,Base!$B$3:$B$980,0))</f>
        <v>72.723125950550269</v>
      </c>
      <c r="H93" s="28">
        <f>INDEX(Base!$N$3:$N$980,MATCH($K93,Base!$B$3:$B$980,0))</f>
        <v>28</v>
      </c>
      <c r="I93" s="28">
        <f>INDEX(Base!$O$3:$O$980,MATCH($K93,Base!$B$3:$B$980,0))</f>
        <v>28</v>
      </c>
      <c r="J93" s="29"/>
      <c r="K93" s="30" t="s">
        <v>217</v>
      </c>
    </row>
    <row r="94" spans="2:11" ht="14.25" customHeight="1" outlineLevel="1" x14ac:dyDescent="0.35">
      <c r="B94" s="24" t="str">
        <f>INDEX(Base!$H$3:$H$980,MATCH($K94,Base!$B$3:$B$980,0))</f>
        <v>CART KING JR INSTITUCIONAL CX 200</v>
      </c>
      <c r="C94" s="25" t="str">
        <f>IFERROR(IF(INDEX(Base!$I$3:$I$980,MATCH($K94,Base!$B$3:$B$980,0))="","",INDEX(Base!$I$3:$I$980,MATCH($K94,Base!$B$3:$B$980,0))),"sem fornecedor")</f>
        <v>INNOVAPACK</v>
      </c>
      <c r="D94" s="26">
        <f>INDEX(Base!$E$3:$E$980,MATCH($K94,Base!$B$3:$B$980,0))</f>
        <v>221000000884</v>
      </c>
      <c r="E94" s="27">
        <f>IFERROR(INDEX(Base!$K$3:$K$980,MATCH($K94,Base!$B$3:$B$980,0)),"sem estoque")</f>
        <v>4</v>
      </c>
      <c r="F94" s="27">
        <f>INDEX(Base!$L$3:$L$980,MATCH($K94,Base!$B$3:$B$980,0))</f>
        <v>2.1963709677419399</v>
      </c>
      <c r="G94" s="28">
        <f>INDEX(Base!$M$3:$M$980,MATCH($K94,Base!$B$3:$B$980,0))</f>
        <v>1.8211859739306004</v>
      </c>
      <c r="H94" s="28">
        <f>INDEX(Base!$N$3:$N$980,MATCH($K94,Base!$B$3:$B$980,0))</f>
        <v>15</v>
      </c>
      <c r="I94" s="28">
        <f>INDEX(Base!$O$3:$O$980,MATCH($K94,Base!$B$3:$B$980,0))</f>
        <v>1.8211859739306004</v>
      </c>
      <c r="J94" s="29"/>
      <c r="K94" s="30" t="s">
        <v>218</v>
      </c>
    </row>
    <row r="95" spans="2:11" ht="14.25" customHeight="1" x14ac:dyDescent="0.35">
      <c r="B95" s="19" t="s">
        <v>115</v>
      </c>
      <c r="C95" s="19"/>
      <c r="D95" s="20"/>
      <c r="E95" s="21">
        <f>SUMIFS(Base!$K$3:$K$980,Base!$J$3:$J$980,"Jpe",Base!$G$3:$G$980,$B95,Base!$K$3:$K$980,"&lt;&gt;#N/A")</f>
        <v>2880</v>
      </c>
      <c r="F95" s="21">
        <f>SUMIFS(Base!$L$3:$L$980,Base!$J$3:$J$980,"Jpe",Base!$G$3:$G$980,$B95)</f>
        <v>170.79929982581194</v>
      </c>
      <c r="G95" s="22">
        <f>IFERROR(E95/F95,0)</f>
        <v>16.861895821219061</v>
      </c>
      <c r="H95" s="22"/>
      <c r="I95" s="22">
        <f>IFERROR(SUMIFS(Base!$P$3:$P$980,Base!$J$3:$J$980,"Jpe",Base!$G$3:$G$980,$B95)/F95,0)</f>
        <v>13.765228547469302</v>
      </c>
      <c r="J95" s="23">
        <f>1+SUMPRODUCT(($K$6:$K$114="")*($I$6:$I$114&lt;I95))</f>
        <v>7</v>
      </c>
      <c r="K95" s="23"/>
    </row>
    <row r="96" spans="2:11" ht="14.25" customHeight="1" outlineLevel="1" x14ac:dyDescent="0.35">
      <c r="B96" s="24" t="str">
        <f>INDEX(Base!$H$3:$H$980,MATCH($K96,Base!$B$3:$B$980,0))</f>
        <v xml:space="preserve"> CASQUINHA SORVETE BK - CX COM 300 UND </v>
      </c>
      <c r="C96" s="25" t="str">
        <f>IFERROR(IF(INDEX(Base!$I$3:$I$980,MATCH($K96,Base!$B$3:$B$980,0))="","",INDEX(Base!$I$3:$I$980,MATCH($K96,Base!$B$3:$B$980,0))),"sem fornecedor")</f>
        <v>DUPON</v>
      </c>
      <c r="D96" s="26">
        <f>INDEX(Base!$E$3:$E$980,MATCH($K96,Base!$B$3:$B$980,0))</f>
        <v>201010000212</v>
      </c>
      <c r="E96" s="27">
        <f>IFERROR(INDEX(Base!$K$3:$K$980,MATCH($K96,Base!$B$3:$B$980,0)),"sem estoque")</f>
        <v>1093</v>
      </c>
      <c r="F96" s="27">
        <f>INDEX(Base!$L$3:$L$980,MATCH($K96,Base!$B$3:$B$980,0))</f>
        <v>63.282516122704003</v>
      </c>
      <c r="G96" s="28">
        <f>INDEX(Base!$M$3:$M$980,MATCH($K96,Base!$B$3:$B$980,0))</f>
        <v>17.271753194526696</v>
      </c>
      <c r="H96" s="28">
        <f>INDEX(Base!$N$3:$N$980,MATCH($K96,Base!$B$3:$B$980,0))</f>
        <v>22</v>
      </c>
      <c r="I96" s="28">
        <f>INDEX(Base!$O$3:$O$980,MATCH($K96,Base!$B$3:$B$980,0))</f>
        <v>17.271753194526696</v>
      </c>
      <c r="J96" s="29"/>
      <c r="K96" s="30" t="s">
        <v>219</v>
      </c>
    </row>
    <row r="97" spans="2:11" ht="14.25" customHeight="1" outlineLevel="1" x14ac:dyDescent="0.35">
      <c r="B97" s="24" t="str">
        <f>INDEX(Base!$H$3:$H$980,MATCH($K97,Base!$B$3:$B$980,0))</f>
        <v xml:space="preserve"> DOCE DE LEITE BK BISNAGA 1.5KG ELEGE CX4BG </v>
      </c>
      <c r="C97" s="25" t="str">
        <f>IFERROR(IF(INDEX(Base!$I$3:$I$980,MATCH($K97,Base!$B$3:$B$980,0))="","",INDEX(Base!$I$3:$I$980,MATCH($K97,Base!$B$3:$B$980,0))),"sem fornecedor")</f>
        <v>LACTALIS1</v>
      </c>
      <c r="D97" s="26">
        <f>INDEX(Base!$E$3:$E$980,MATCH($K97,Base!$B$3:$B$980,0))</f>
        <v>201010000577</v>
      </c>
      <c r="E97" s="27">
        <f>IFERROR(INDEX(Base!$K$3:$K$980,MATCH($K97,Base!$B$3:$B$980,0)),"sem estoque")</f>
        <v>493</v>
      </c>
      <c r="F97" s="27">
        <f>INDEX(Base!$L$3:$L$980,MATCH($K97,Base!$B$3:$B$980,0))</f>
        <v>30.811785129007799</v>
      </c>
      <c r="G97" s="28">
        <f>INDEX(Base!$M$3:$M$980,MATCH($K97,Base!$B$3:$B$980,0))</f>
        <v>16.000371219513163</v>
      </c>
      <c r="H97" s="28">
        <f>INDEX(Base!$N$3:$N$980,MATCH($K97,Base!$B$3:$B$980,0))</f>
        <v>17</v>
      </c>
      <c r="I97" s="28">
        <f>INDEX(Base!$O$3:$O$980,MATCH($K97,Base!$B$3:$B$980,0))</f>
        <v>16.000371219513163</v>
      </c>
      <c r="J97" s="29"/>
      <c r="K97" s="30" t="s">
        <v>220</v>
      </c>
    </row>
    <row r="98" spans="2:11" ht="14.25" customHeight="1" outlineLevel="1" x14ac:dyDescent="0.35">
      <c r="B98" s="24" t="str">
        <f>INDEX(Base!$H$3:$H$980,MATCH($K98,Base!$B$3:$B$980,0))</f>
        <v xml:space="preserve"> BROWNIE PICADO SEM NOZES BK 1KG C/4 </v>
      </c>
      <c r="C98" s="25" t="str">
        <f>IFERROR(IF(INDEX(Base!$I$3:$I$980,MATCH($K98,Base!$B$3:$B$980,0))="","",INDEX(Base!$I$3:$I$980,MATCH($K98,Base!$B$3:$B$980,0))),"sem fornecedor")</f>
        <v>ALIBEY</v>
      </c>
      <c r="D98" s="26">
        <f>INDEX(Base!$E$3:$E$980,MATCH($K98,Base!$B$3:$B$980,0))</f>
        <v>201010000598</v>
      </c>
      <c r="E98" s="27">
        <f>IFERROR(INDEX(Base!$K$3:$K$980,MATCH($K98,Base!$B$3:$B$980,0)),"sem estoque")</f>
        <v>131</v>
      </c>
      <c r="F98" s="27">
        <f>INDEX(Base!$L$3:$L$980,MATCH($K98,Base!$B$3:$B$980,0))</f>
        <v>12.9509743540249</v>
      </c>
      <c r="G98" s="28">
        <f>INDEX(Base!$M$3:$M$980,MATCH($K98,Base!$B$3:$B$980,0))</f>
        <v>10.115069061138852</v>
      </c>
      <c r="H98" s="28">
        <f>INDEX(Base!$N$3:$N$980,MATCH($K98,Base!$B$3:$B$980,0))</f>
        <v>18</v>
      </c>
      <c r="I98" s="28">
        <f>INDEX(Base!$O$3:$O$980,MATCH($K98,Base!$B$3:$B$980,0))</f>
        <v>10.115069061138852</v>
      </c>
      <c r="J98" s="29"/>
      <c r="K98" s="30" t="s">
        <v>221</v>
      </c>
    </row>
    <row r="99" spans="2:11" ht="14.25" customHeight="1" outlineLevel="1" x14ac:dyDescent="0.35">
      <c r="B99" s="24" t="str">
        <f>INDEX(Base!$H$3:$H$980,MATCH($K99,Base!$B$3:$B$980,0))</f>
        <v xml:space="preserve"> NUTELLA BK CX C/2X3KG </v>
      </c>
      <c r="C99" s="25" t="str">
        <f>IFERROR(IF(INDEX(Base!$I$3:$I$980,MATCH($K99,Base!$B$3:$B$980,0))="","",INDEX(Base!$I$3:$I$980,MATCH($K99,Base!$B$3:$B$980,0))),"sem fornecedor")</f>
        <v>FERRERO BR</v>
      </c>
      <c r="D99" s="26">
        <f>INDEX(Base!$E$3:$E$980,MATCH($K99,Base!$B$3:$B$980,0))</f>
        <v>201010000638</v>
      </c>
      <c r="E99" s="27">
        <f>IFERROR(INDEX(Base!$K$3:$K$980,MATCH($K99,Base!$B$3:$B$980,0)),"sem estoque")</f>
        <v>815</v>
      </c>
      <c r="F99" s="27">
        <f>INDEX(Base!$L$3:$L$980,MATCH($K99,Base!$B$3:$B$980,0))</f>
        <v>17.8807123656272</v>
      </c>
      <c r="G99" s="28">
        <f>INDEX(Base!$M$3:$M$980,MATCH($K99,Base!$B$3:$B$980,0))</f>
        <v>45.57983951280972</v>
      </c>
      <c r="H99" s="28">
        <f>INDEX(Base!$N$3:$N$980,MATCH($K99,Base!$B$3:$B$980,0))</f>
        <v>16</v>
      </c>
      <c r="I99" s="28">
        <f>INDEX(Base!$O$3:$O$980,MATCH($K99,Base!$B$3:$B$980,0))</f>
        <v>16</v>
      </c>
      <c r="J99" s="29"/>
      <c r="K99" s="30" t="s">
        <v>222</v>
      </c>
    </row>
    <row r="100" spans="2:11" ht="14.25" customHeight="1" outlineLevel="1" x14ac:dyDescent="0.35">
      <c r="B100" s="24" t="str">
        <f>INDEX(Base!$H$3:$H$980,MATCH($K100,Base!$B$3:$B$980,0))</f>
        <v xml:space="preserve"> CALDA MORANGO 6X1,25 CX C/7,5 KG </v>
      </c>
      <c r="C100" s="25" t="str">
        <f>IFERROR(IF(INDEX(Base!$I$3:$I$980,MATCH($K100,Base!$B$3:$B$980,0))="","",INDEX(Base!$I$3:$I$980,MATCH($K100,Base!$B$3:$B$980,0))),"sem fornecedor")</f>
        <v>CELLIER</v>
      </c>
      <c r="D100" s="26">
        <f>INDEX(Base!$E$3:$E$980,MATCH($K100,Base!$B$3:$B$980,0))</f>
        <v>201010000572</v>
      </c>
      <c r="E100" s="27">
        <f>IFERROR(INDEX(Base!$K$3:$K$980,MATCH($K100,Base!$B$3:$B$980,0)),"sem estoque")</f>
        <v>140</v>
      </c>
      <c r="F100" s="27">
        <f>INDEX(Base!$L$3:$L$980,MATCH($K100,Base!$B$3:$B$980,0))</f>
        <v>13.1782258064187</v>
      </c>
      <c r="G100" s="28">
        <f>INDEX(Base!$M$3:$M$980,MATCH($K100,Base!$B$3:$B$980,0))</f>
        <v>10.623584847955057</v>
      </c>
      <c r="H100" s="28">
        <f>INDEX(Base!$N$3:$N$980,MATCH($K100,Base!$B$3:$B$980,0))</f>
        <v>14</v>
      </c>
      <c r="I100" s="28">
        <f>INDEX(Base!$O$3:$O$980,MATCH($K100,Base!$B$3:$B$980,0))</f>
        <v>10.623584847955057</v>
      </c>
      <c r="J100" s="29"/>
      <c r="K100" s="30" t="s">
        <v>223</v>
      </c>
    </row>
    <row r="101" spans="2:11" ht="14.25" customHeight="1" outlineLevel="1" x14ac:dyDescent="0.35">
      <c r="B101" s="24" t="str">
        <f>INDEX(Base!$H$3:$H$980,MATCH($K101,Base!$B$3:$B$980,0))</f>
        <v xml:space="preserve"> BROWNIE BRIGADEIRO BK CX 24X50 G </v>
      </c>
      <c r="C101" s="25" t="str">
        <f>IFERROR(IF(INDEX(Base!$I$3:$I$980,MATCH($K101,Base!$B$3:$B$980,0))="","",INDEX(Base!$I$3:$I$980,MATCH($K101,Base!$B$3:$B$980,0))),"sem fornecedor")</f>
        <v>ALIBEY</v>
      </c>
      <c r="D101" s="26">
        <f>INDEX(Base!$E$3:$E$980,MATCH($K101,Base!$B$3:$B$980,0))</f>
        <v>201010000602</v>
      </c>
      <c r="E101" s="27">
        <f>IFERROR(INDEX(Base!$K$3:$K$980,MATCH($K101,Base!$B$3:$B$980,0)),"sem estoque")</f>
        <v>17</v>
      </c>
      <c r="F101" s="27">
        <f>INDEX(Base!$L$3:$L$980,MATCH($K101,Base!$B$3:$B$980,0))</f>
        <v>6.5187163979016196</v>
      </c>
      <c r="G101" s="28">
        <f>INDEX(Base!$M$3:$M$980,MATCH($K101,Base!$B$3:$B$980,0))</f>
        <v>2.607875379495312</v>
      </c>
      <c r="H101" s="28">
        <f>INDEX(Base!$N$3:$N$980,MATCH($K101,Base!$B$3:$B$980,0))</f>
        <v>20</v>
      </c>
      <c r="I101" s="28">
        <f>INDEX(Base!$O$3:$O$980,MATCH($K101,Base!$B$3:$B$980,0))</f>
        <v>2.607875379495312</v>
      </c>
      <c r="J101" s="29"/>
      <c r="K101" s="30" t="s">
        <v>224</v>
      </c>
    </row>
    <row r="102" spans="2:11" ht="14.25" customHeight="1" outlineLevel="1" x14ac:dyDescent="0.35">
      <c r="B102" s="24" t="str">
        <f>INDEX(Base!$H$3:$H$980,MATCH($K102,Base!$B$3:$B$980,0))</f>
        <v xml:space="preserve"> MISTURA MILK SHAKE BAU BK CX 13,16 </v>
      </c>
      <c r="C102" s="25" t="str">
        <f>IFERROR(IF(INDEX(Base!$I$3:$I$980,MATCH($K102,Base!$B$3:$B$980,0))="","",INDEX(Base!$I$3:$I$980,MATCH($K102,Base!$B$3:$B$980,0))),"sem fornecedor")</f>
        <v>DOHLER 01</v>
      </c>
      <c r="D102" s="26">
        <f>INDEX(Base!$E$3:$E$980,MATCH($K102,Base!$B$3:$B$980,0))</f>
        <v>201010000632</v>
      </c>
      <c r="E102" s="27">
        <f>IFERROR(INDEX(Base!$K$3:$K$980,MATCH($K102,Base!$B$3:$B$980,0)),"sem estoque")</f>
        <v>28</v>
      </c>
      <c r="F102" s="27">
        <f>INDEX(Base!$L$3:$L$980,MATCH($K102,Base!$B$3:$B$980,0))</f>
        <v>7.7543141484164497</v>
      </c>
      <c r="G102" s="28">
        <f>INDEX(Base!$M$3:$M$980,MATCH($K102,Base!$B$3:$B$980,0))</f>
        <v>3.6108931704447427</v>
      </c>
      <c r="H102" s="28">
        <f>INDEX(Base!$N$3:$N$980,MATCH($K102,Base!$B$3:$B$980,0))</f>
        <v>14</v>
      </c>
      <c r="I102" s="28">
        <f>INDEX(Base!$O$3:$O$980,MATCH($K102,Base!$B$3:$B$980,0))</f>
        <v>3.6108931704447427</v>
      </c>
      <c r="J102" s="29"/>
      <c r="K102" s="30" t="s">
        <v>225</v>
      </c>
    </row>
    <row r="103" spans="2:11" ht="14.25" customHeight="1" outlineLevel="1" x14ac:dyDescent="0.35">
      <c r="B103" s="24" t="str">
        <f>INDEX(Base!$H$3:$H$980,MATCH($K103,Base!$B$3:$B$980,0))</f>
        <v xml:space="preserve"> COBERTURA CHOCO BK CX 9X1,05 KG CLEAN LABEL </v>
      </c>
      <c r="C103" s="25" t="str">
        <f>IFERROR(IF(INDEX(Base!$I$3:$I$980,MATCH($K103,Base!$B$3:$B$980,0))="","",INDEX(Base!$I$3:$I$980,MATCH($K103,Base!$B$3:$B$980,0))),"sem fornecedor")</f>
        <v>CARINO</v>
      </c>
      <c r="D103" s="26">
        <f>INDEX(Base!$E$3:$E$980,MATCH($K103,Base!$B$3:$B$980,0))</f>
        <v>201010000432</v>
      </c>
      <c r="E103" s="27">
        <f>IFERROR(INDEX(Base!$K$3:$K$980,MATCH($K103,Base!$B$3:$B$980,0)),"sem estoque")</f>
        <v>136</v>
      </c>
      <c r="F103" s="27">
        <f>INDEX(Base!$L$3:$L$980,MATCH($K103,Base!$B$3:$B$980,0))</f>
        <v>10.3724497669504</v>
      </c>
      <c r="G103" s="28">
        <f>INDEX(Base!$M$3:$M$980,MATCH($K103,Base!$B$3:$B$980,0))</f>
        <v>13.111656653506774</v>
      </c>
      <c r="H103" s="28">
        <f>INDEX(Base!$N$3:$N$980,MATCH($K103,Base!$B$3:$B$980,0))</f>
        <v>17</v>
      </c>
      <c r="I103" s="28">
        <f>INDEX(Base!$O$3:$O$980,MATCH($K103,Base!$B$3:$B$980,0))</f>
        <v>13.111656653506774</v>
      </c>
      <c r="J103" s="29"/>
      <c r="K103" s="30" t="s">
        <v>226</v>
      </c>
    </row>
    <row r="104" spans="2:11" ht="14.25" customHeight="1" outlineLevel="1" x14ac:dyDescent="0.35">
      <c r="B104" s="24" t="str">
        <f>INDEX(Base!$H$3:$H$980,MATCH($K104,Base!$B$3:$B$980,0))</f>
        <v xml:space="preserve"> OVOMALTINE FLOCOS CX 12X750GR </v>
      </c>
      <c r="C104" s="25" t="str">
        <f>IFERROR(IF(INDEX(Base!$I$3:$I$980,MATCH($K104,Base!$B$3:$B$980,0))="","",INDEX(Base!$I$3:$I$980,MATCH($K104,Base!$B$3:$B$980,0))),"sem fornecedor")</f>
        <v>AB BRASIL</v>
      </c>
      <c r="D104" s="26">
        <f>INDEX(Base!$E$3:$E$980,MATCH($K104,Base!$B$3:$B$980,0))</f>
        <v>201010000507</v>
      </c>
      <c r="E104" s="27">
        <f>IFERROR(INDEX(Base!$K$3:$K$980,MATCH($K104,Base!$B$3:$B$980,0)),"sem estoque")</f>
        <v>-3</v>
      </c>
      <c r="F104" s="27">
        <f>INDEX(Base!$L$3:$L$980,MATCH($K104,Base!$B$3:$B$980,0))</f>
        <v>6.1573476702447199</v>
      </c>
      <c r="G104" s="28">
        <f>INDEX(Base!$M$3:$M$980,MATCH($K104,Base!$B$3:$B$980,0))</f>
        <v>-0.48722277198954511</v>
      </c>
      <c r="H104" s="28">
        <f>INDEX(Base!$N$3:$N$980,MATCH($K104,Base!$B$3:$B$980,0))</f>
        <v>16</v>
      </c>
      <c r="I104" s="28">
        <f>INDEX(Base!$O$3:$O$980,MATCH($K104,Base!$B$3:$B$980,0))</f>
        <v>-0.48722277198954511</v>
      </c>
      <c r="J104" s="29"/>
      <c r="K104" s="30" t="s">
        <v>227</v>
      </c>
    </row>
    <row r="105" spans="2:11" ht="14.25" customHeight="1" outlineLevel="1" x14ac:dyDescent="0.35">
      <c r="B105" s="24" t="str">
        <f>INDEX(Base!$H$3:$H$980,MATCH($K105,Base!$B$3:$B$980,0))</f>
        <v xml:space="preserve"> COOKIE GRANULADO BAUNI CL CX5X1KG </v>
      </c>
      <c r="C105" s="25" t="str">
        <f>IFERROR(IF(INDEX(Base!$I$3:$I$980,MATCH($K105,Base!$B$3:$B$980,0))="","",INDEX(Base!$I$3:$I$980,MATCH($K105,Base!$B$3:$B$980,0))),"sem fornecedor")</f>
        <v>CARINO</v>
      </c>
      <c r="D105" s="26">
        <f>INDEX(Base!$E$3:$E$980,MATCH($K105,Base!$B$3:$B$980,0))</f>
        <v>201010000506</v>
      </c>
      <c r="E105" s="27">
        <f>IFERROR(INDEX(Base!$K$3:$K$980,MATCH($K105,Base!$B$3:$B$980,0)),"sem estoque")</f>
        <v>30</v>
      </c>
      <c r="F105" s="27">
        <f>INDEX(Base!$L$3:$L$980,MATCH($K105,Base!$B$3:$B$980,0))</f>
        <v>1.89225806451613</v>
      </c>
      <c r="G105" s="28">
        <f>INDEX(Base!$M$3:$M$980,MATCH($K105,Base!$B$3:$B$980,0))</f>
        <v>15.854074326628018</v>
      </c>
      <c r="H105" s="28">
        <f>INDEX(Base!$N$3:$N$980,MATCH($K105,Base!$B$3:$B$980,0))</f>
        <v>19</v>
      </c>
      <c r="I105" s="28">
        <f>INDEX(Base!$O$3:$O$980,MATCH($K105,Base!$B$3:$B$980,0))</f>
        <v>15.854074326628018</v>
      </c>
      <c r="J105" s="29"/>
      <c r="K105" s="30" t="s">
        <v>228</v>
      </c>
    </row>
    <row r="106" spans="2:11" ht="14.25" customHeight="1" x14ac:dyDescent="0.35">
      <c r="B106" s="19" t="s">
        <v>126</v>
      </c>
      <c r="C106" s="19"/>
      <c r="D106" s="20"/>
      <c r="E106" s="21">
        <f>SUMIFS(Base!$K$3:$K$980,Base!$J$3:$J$980,"Jpe",Base!$G$3:$G$980,$B106,Base!$K$3:$K$980,"&lt;&gt;#N/A")</f>
        <v>690</v>
      </c>
      <c r="F106" s="21">
        <f>SUMIFS(Base!$L$3:$L$980,Base!$J$3:$J$980,"Jpe",Base!$G$3:$G$980,$B106)</f>
        <v>36.82090711334989</v>
      </c>
      <c r="G106" s="22">
        <f>IFERROR(E106/F106,0)</f>
        <v>18.739353646989095</v>
      </c>
      <c r="H106" s="22"/>
      <c r="I106" s="22">
        <f>IFERROR(SUMIFS(Base!$P$3:$P$980,Base!$J$3:$J$980,"Jpe",Base!$G$3:$G$980,$B106)/F106,0)</f>
        <v>13.03367120469977</v>
      </c>
      <c r="J106" s="23">
        <f>1+SUMPRODUCT(($K$6:$K$114="")*($I$6:$I$114&lt;I106))</f>
        <v>5</v>
      </c>
      <c r="K106" s="23"/>
    </row>
    <row r="107" spans="2:11" ht="14.25" customHeight="1" outlineLevel="1" x14ac:dyDescent="0.35">
      <c r="B107" s="24" t="str">
        <f>INDEX(Base!$H$3:$H$980,MATCH($K107,Base!$B$3:$B$980,0))</f>
        <v xml:space="preserve"> OLEO ESPECIAL SUPREMA BK CX 18KG </v>
      </c>
      <c r="C107" s="25" t="str">
        <f>IFERROR(IF(INDEX(Base!$I$3:$I$980,MATCH($K107,Base!$B$3:$B$980,0))="","",INDEX(Base!$I$3:$I$980,MATCH($K107,Base!$B$3:$B$980,0))),"sem fornecedor")</f>
        <v>BUNGE</v>
      </c>
      <c r="D107" s="26">
        <f>INDEX(Base!$E$3:$E$980,MATCH($K107,Base!$B$3:$B$980,0))</f>
        <v>201010000387</v>
      </c>
      <c r="E107" s="27">
        <f>IFERROR(INDEX(Base!$K$3:$K$980,MATCH($K107,Base!$B$3:$B$980,0)),"sem estoque")</f>
        <v>381</v>
      </c>
      <c r="F107" s="27">
        <f>INDEX(Base!$L$3:$L$980,MATCH($K107,Base!$B$3:$B$980,0))</f>
        <v>30.3324462368018</v>
      </c>
      <c r="G107" s="28">
        <f>INDEX(Base!$M$3:$M$980,MATCH($K107,Base!$B$3:$B$980,0))</f>
        <v>12.560806900491253</v>
      </c>
      <c r="H107" s="28">
        <f>INDEX(Base!$N$3:$N$980,MATCH($K107,Base!$B$3:$B$980,0))</f>
        <v>14</v>
      </c>
      <c r="I107" s="28">
        <f>INDEX(Base!$O$3:$O$980,MATCH($K107,Base!$B$3:$B$980,0))</f>
        <v>12.560806900491253</v>
      </c>
      <c r="J107" s="29"/>
      <c r="K107" s="30" t="s">
        <v>229</v>
      </c>
    </row>
    <row r="108" spans="2:11" ht="14.25" customHeight="1" outlineLevel="1" x14ac:dyDescent="0.35">
      <c r="B108" s="24" t="str">
        <f>INDEX(Base!$H$3:$H$980,MATCH($K108,Base!$B$3:$B$980,0))</f>
        <v xml:space="preserve"> CEBOLA FRITA CRISPY BENASSI 10X500 GR </v>
      </c>
      <c r="C108" s="25" t="str">
        <f>IFERROR(IF(INDEX(Base!$I$3:$I$980,MATCH($K108,Base!$B$3:$B$980,0))="","",INDEX(Base!$I$3:$I$980,MATCH($K108,Base!$B$3:$B$980,0))),"sem fornecedor")</f>
        <v>BENASSI AN</v>
      </c>
      <c r="D108" s="26">
        <f>INDEX(Base!$E$3:$E$980,MATCH($K108,Base!$B$3:$B$980,0))</f>
        <v>201010000625</v>
      </c>
      <c r="E108" s="27">
        <f>IFERROR(INDEX(Base!$K$3:$K$980,MATCH($K108,Base!$B$3:$B$980,0)),"sem estoque")</f>
        <v>32</v>
      </c>
      <c r="F108" s="27">
        <f>INDEX(Base!$L$3:$L$980,MATCH($K108,Base!$B$3:$B$980,0))</f>
        <v>2.9617966546613701</v>
      </c>
      <c r="G108" s="28">
        <f>INDEX(Base!$M$3:$M$980,MATCH($K108,Base!$B$3:$B$980,0))</f>
        <v>10.804252867811631</v>
      </c>
      <c r="H108" s="28">
        <f>INDEX(Base!$N$3:$N$980,MATCH($K108,Base!$B$3:$B$980,0))</f>
        <v>23</v>
      </c>
      <c r="I108" s="28">
        <f>INDEX(Base!$O$3:$O$980,MATCH($K108,Base!$B$3:$B$980,0))</f>
        <v>10.804252867811631</v>
      </c>
      <c r="J108" s="29"/>
      <c r="K108" s="30" t="s">
        <v>230</v>
      </c>
    </row>
    <row r="109" spans="2:11" ht="14.25" customHeight="1" outlineLevel="1" x14ac:dyDescent="0.35">
      <c r="B109" s="24" t="str">
        <f>INDEX(Base!$H$3:$H$980,MATCH($K109,Base!$B$3:$B$980,0))</f>
        <v xml:space="preserve">TEMPERO SAL E PIMENTA BK BLEND 1,01KG </v>
      </c>
      <c r="C109" s="25" t="str">
        <f>IFERROR(IF(INDEX(Base!$I$3:$I$980,MATCH($K109,Base!$B$3:$B$980,0))="","",INDEX(Base!$I$3:$I$980,MATCH($K109,Base!$B$3:$B$980,0))),"sem fornecedor")</f>
        <v>KERRY4</v>
      </c>
      <c r="D109" s="26">
        <f>INDEX(Base!$E$3:$E$980,MATCH($K109,Base!$B$3:$B$980,0))</f>
        <v>221000000855</v>
      </c>
      <c r="E109" s="27">
        <f>IFERROR(INDEX(Base!$K$3:$K$980,MATCH($K109,Base!$B$3:$B$980,0)),"sem estoque")</f>
        <v>0</v>
      </c>
      <c r="F109" s="27">
        <f>INDEX(Base!$L$3:$L$980,MATCH($K109,Base!$B$3:$B$980,0))</f>
        <v>0.51594647995124399</v>
      </c>
      <c r="G109" s="28">
        <f>INDEX(Base!$M$3:$M$980,MATCH($K109,Base!$B$3:$B$980,0))</f>
        <v>0</v>
      </c>
      <c r="H109" s="28">
        <f>INDEX(Base!$N$3:$N$980,MATCH($K109,Base!$B$3:$B$980,0))</f>
        <v>15</v>
      </c>
      <c r="I109" s="28">
        <f>INDEX(Base!$O$3:$O$980,MATCH($K109,Base!$B$3:$B$980,0))</f>
        <v>0</v>
      </c>
      <c r="J109" s="29"/>
      <c r="K109" s="30" t="s">
        <v>231</v>
      </c>
    </row>
    <row r="110" spans="2:11" ht="14.25" customHeight="1" outlineLevel="1" x14ac:dyDescent="0.35">
      <c r="B110" s="24" t="str">
        <f>INDEX(Base!$H$3:$H$980,MATCH($K110,Base!$B$3:$B$980,0))</f>
        <v xml:space="preserve"> SAL BK 0,5KG X 20FD </v>
      </c>
      <c r="C110" s="25" t="str">
        <f>IFERROR(IF(INDEX(Base!$I$3:$I$980,MATCH($K110,Base!$B$3:$B$980,0))="","",INDEX(Base!$I$3:$I$980,MATCH($K110,Base!$B$3:$B$980,0))),"sem fornecedor")</f>
        <v>KERRY</v>
      </c>
      <c r="D110" s="26">
        <f>INDEX(Base!$E$3:$E$980,MATCH($K110,Base!$B$3:$B$980,0))</f>
        <v>201010000336</v>
      </c>
      <c r="E110" s="27">
        <f>IFERROR(INDEX(Base!$K$3:$K$980,MATCH($K110,Base!$B$3:$B$980,0)),"sem estoque")</f>
        <v>246</v>
      </c>
      <c r="F110" s="27">
        <f>INDEX(Base!$L$3:$L$980,MATCH($K110,Base!$B$3:$B$980,0))</f>
        <v>2.3349112903225699</v>
      </c>
      <c r="G110" s="28">
        <f>INDEX(Base!$M$3:$M$980,MATCH($K110,Base!$B$3:$B$980,0))</f>
        <v>105.35732171906835</v>
      </c>
      <c r="H110" s="28">
        <f>INDEX(Base!$N$3:$N$980,MATCH($K110,Base!$B$3:$B$980,0))</f>
        <v>22</v>
      </c>
      <c r="I110" s="28">
        <f>INDEX(Base!$O$3:$O$980,MATCH($K110,Base!$B$3:$B$980,0))</f>
        <v>22</v>
      </c>
      <c r="J110" s="29"/>
      <c r="K110" s="30" t="s">
        <v>232</v>
      </c>
    </row>
    <row r="111" spans="2:11" ht="14.25" customHeight="1" outlineLevel="1" x14ac:dyDescent="0.35">
      <c r="B111" s="24" t="str">
        <f>INDEX(Base!$H$3:$H$980,MATCH($K111,Base!$B$3:$B$980,0))</f>
        <v xml:space="preserve"> SAL REFINADO SACHE JR CX2500UN 0,8G </v>
      </c>
      <c r="C111" s="25" t="str">
        <f>IFERROR(IF(INDEX(Base!$I$3:$I$980,MATCH($K111,Base!$B$3:$B$980,0))="","",INDEX(Base!$I$3:$I$980,MATCH($K111,Base!$B$3:$B$980,0))),"sem fornecedor")</f>
        <v>KERRY</v>
      </c>
      <c r="D111" s="26">
        <f>INDEX(Base!$E$3:$E$980,MATCH($K111,Base!$B$3:$B$980,0))</f>
        <v>201010000591</v>
      </c>
      <c r="E111" s="27">
        <f>IFERROR(INDEX(Base!$K$3:$K$980,MATCH($K111,Base!$B$3:$B$980,0)),"sem estoque")</f>
        <v>31</v>
      </c>
      <c r="F111" s="27">
        <f>INDEX(Base!$L$3:$L$980,MATCH($K111,Base!$B$3:$B$980,0))</f>
        <v>0.67580645161290298</v>
      </c>
      <c r="G111" s="28">
        <f>INDEX(Base!$M$3:$M$980,MATCH($K111,Base!$B$3:$B$980,0))</f>
        <v>45.871121718377104</v>
      </c>
      <c r="H111" s="28">
        <f>INDEX(Base!$N$3:$N$980,MATCH($K111,Base!$B$3:$B$980,0))</f>
        <v>23</v>
      </c>
      <c r="I111" s="28">
        <f>INDEX(Base!$O$3:$O$980,MATCH($K111,Base!$B$3:$B$980,0))</f>
        <v>23</v>
      </c>
      <c r="J111" s="29"/>
      <c r="K111" s="30" t="s">
        <v>233</v>
      </c>
    </row>
    <row r="112" spans="2:11" ht="14.25" customHeight="1" x14ac:dyDescent="0.35">
      <c r="B112" s="19" t="s">
        <v>132</v>
      </c>
      <c r="C112" s="19"/>
      <c r="D112" s="20"/>
      <c r="E112" s="21">
        <f>SUMIFS(Base!$K$3:$K$980,Base!$J$3:$J$980,"Jpe",Base!$G$3:$G$980,$B112,Base!$K$3:$K$980,"&lt;&gt;#N/A")</f>
        <v>929</v>
      </c>
      <c r="F112" s="21">
        <f>SUMIFS(Base!$L$3:$L$980,Base!$J$3:$J$980,"Jpe",Base!$G$3:$G$980,$B112)</f>
        <v>19.068630142334371</v>
      </c>
      <c r="G112" s="22">
        <f>IFERROR(E112/F112,0)</f>
        <v>48.718759190652193</v>
      </c>
      <c r="H112" s="22"/>
      <c r="I112" s="22">
        <f>IFERROR(SUMIFS(Base!$P$3:$P$980,Base!$J$3:$J$980,"Jpe",Base!$G$3:$G$980,$B112)/F112,0)</f>
        <v>16.63016926350976</v>
      </c>
      <c r="J112" s="23">
        <f>1+SUMPRODUCT(($K$6:$K$114="")*($I$6:$I$114&lt;I112))</f>
        <v>8</v>
      </c>
      <c r="K112" s="23"/>
    </row>
    <row r="113" spans="2:11" ht="14.25" customHeight="1" outlineLevel="1" x14ac:dyDescent="0.35">
      <c r="B113" s="24" t="str">
        <f>INDEX(Base!$H$3:$H$980,MATCH($K113,Base!$B$3:$B$980,0))</f>
        <v xml:space="preserve"> PEPINO FATIADO DRENAD BK CX6X2,300KG </v>
      </c>
      <c r="C113" s="25" t="str">
        <f>IFERROR(IF(INDEX(Base!$I$3:$I$980,MATCH($K113,Base!$B$3:$B$980,0))="","",INDEX(Base!$I$3:$I$980,MATCH($K113,Base!$B$3:$B$980,0))),"sem fornecedor")</f>
        <v>REFRICON</v>
      </c>
      <c r="D113" s="26">
        <f>INDEX(Base!$E$3:$E$980,MATCH($K113,Base!$B$3:$B$980,0))</f>
        <v>201010000653</v>
      </c>
      <c r="E113" s="27">
        <f>IFERROR(INDEX(Base!$K$3:$K$980,MATCH($K113,Base!$B$3:$B$980,0)),"sem estoque")</f>
        <v>840</v>
      </c>
      <c r="F113" s="27">
        <f>INDEX(Base!$L$3:$L$980,MATCH($K113,Base!$B$3:$B$980,0))</f>
        <v>17.588387534940601</v>
      </c>
      <c r="G113" s="28">
        <f>INDEX(Base!$M$3:$M$980,MATCH($K113,Base!$B$3:$B$980,0))</f>
        <v>47.758783932368978</v>
      </c>
      <c r="H113" s="28">
        <f>INDEX(Base!$N$3:$N$980,MATCH($K113,Base!$B$3:$B$980,0))</f>
        <v>15</v>
      </c>
      <c r="I113" s="28">
        <f>INDEX(Base!$O$3:$O$980,MATCH($K113,Base!$B$3:$B$980,0))</f>
        <v>15</v>
      </c>
      <c r="J113" s="29"/>
      <c r="K113" s="30" t="s">
        <v>234</v>
      </c>
    </row>
    <row r="114" spans="2:11" ht="14.25" customHeight="1" outlineLevel="1" x14ac:dyDescent="0.35">
      <c r="B114" s="24" t="str">
        <f>INDEX(Base!$H$3:$H$980,MATCH($K114,Base!$B$3:$B$980,0))</f>
        <v xml:space="preserve"> PIMENTA JALAPENO FAT CLEAN CX6X1,5KG </v>
      </c>
      <c r="C114" s="25" t="str">
        <f>IFERROR(IF(INDEX(Base!$I$3:$I$980,MATCH($K114,Base!$B$3:$B$980,0))="","",INDEX(Base!$I$3:$I$980,MATCH($K114,Base!$B$3:$B$980,0))),"sem fornecedor")</f>
        <v>REFRICON</v>
      </c>
      <c r="D114" s="26">
        <f>INDEX(Base!$E$3:$E$980,MATCH($K114,Base!$B$3:$B$980,0))</f>
        <v>201010000335</v>
      </c>
      <c r="E114" s="27">
        <f>IFERROR(INDEX(Base!$K$3:$K$980,MATCH($K114,Base!$B$3:$B$980,0)),"sem estoque")</f>
        <v>89</v>
      </c>
      <c r="F114" s="27">
        <f>INDEX(Base!$L$3:$L$980,MATCH($K114,Base!$B$3:$B$980,0))</f>
        <v>1.48024260739377</v>
      </c>
      <c r="G114" s="28">
        <f>INDEX(Base!$M$3:$M$980,MATCH($K114,Base!$B$3:$B$980,0))</f>
        <v>60.125279164001576</v>
      </c>
      <c r="H114" s="28">
        <f>INDEX(Base!$N$3:$N$980,MATCH($K114,Base!$B$3:$B$980,0))</f>
        <v>36</v>
      </c>
      <c r="I114" s="28">
        <f>INDEX(Base!$O$3:$O$980,MATCH($K114,Base!$B$3:$B$980,0))</f>
        <v>36</v>
      </c>
      <c r="J114" s="29"/>
      <c r="K114" s="30" t="s">
        <v>235</v>
      </c>
    </row>
    <row r="115" spans="2:11" ht="14.25" customHeight="1" x14ac:dyDescent="0.35">
      <c r="B115" s="15" t="s">
        <v>8</v>
      </c>
      <c r="C115" s="15"/>
      <c r="D115" s="31"/>
      <c r="E115" s="10">
        <f>SUMIFS(Base!$K$3:$K$980,Base!$J$3:$J$980,"Jpe",Base!$K$3:$K$980,"&lt;&gt;#N/A")</f>
        <v>28823</v>
      </c>
      <c r="F115" s="10">
        <f>SUMIFS(Base!$L$3:$L$980,Base!$J$3:$J$980,"Jpe")</f>
        <v>1749.4653562411622</v>
      </c>
      <c r="G115" s="16">
        <f>IFERROR(E115/F115,0)</f>
        <v>16.47531910087551</v>
      </c>
      <c r="H115" s="32"/>
      <c r="I115" s="16">
        <f>IFERROR(SUMIFS(Base!$P$3:$P$980,Base!$J$3:$J$980,"Jpe")/F115,0)</f>
        <v>11.1155368353397</v>
      </c>
      <c r="J115" s="15"/>
      <c r="K115" s="15"/>
    </row>
    <row r="117" spans="2:11" ht="14.25" customHeight="1" x14ac:dyDescent="0.35">
      <c r="B117" s="2"/>
    </row>
  </sheetData>
  <conditionalFormatting sqref="I6:I115">
    <cfRule type="cellIs" dxfId="4" priority="1" operator="lessThan">
      <formula>7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E11:I44 F45:I90 F91:I94 F95:I115" formula="1"/>
    <ignoredError sqref="E45:E90 E91:E94 E95:E115" evalError="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203"/>
  <sheetViews>
    <sheetView showGridLines="0" zoomScaleNormal="100" workbookViewId="0">
      <selection activeCell="H12" sqref="H12"/>
    </sheetView>
  </sheetViews>
  <sheetFormatPr defaultColWidth="8.6328125" defaultRowHeight="14.5" x14ac:dyDescent="0.35"/>
  <cols>
    <col min="1" max="1" width="5.81640625" customWidth="1"/>
    <col min="2" max="2" width="16" customWidth="1"/>
    <col min="3" max="3" width="7" customWidth="1"/>
    <col min="4" max="4" width="10.453125" customWidth="1"/>
    <col min="5" max="6" width="13" style="33" customWidth="1"/>
    <col min="7" max="7" width="13" customWidth="1"/>
    <col min="8" max="8" width="43" customWidth="1"/>
    <col min="9" max="9" width="13" customWidth="1"/>
    <col min="10" max="10" width="7" customWidth="1"/>
    <col min="11" max="14" width="10" customWidth="1"/>
    <col min="15" max="15" width="13" customWidth="1"/>
    <col min="16" max="16" width="12" customWidth="1"/>
    <col min="17" max="18" width="9" customWidth="1"/>
  </cols>
  <sheetData>
    <row r="2" spans="2:18" ht="36" customHeight="1" x14ac:dyDescent="0.35">
      <c r="B2" s="4" t="s">
        <v>25</v>
      </c>
      <c r="C2" s="4" t="s">
        <v>236</v>
      </c>
      <c r="D2" s="4" t="s">
        <v>237</v>
      </c>
      <c r="E2" s="34" t="s">
        <v>19</v>
      </c>
      <c r="F2" s="34" t="s">
        <v>238</v>
      </c>
      <c r="G2" s="4" t="s">
        <v>239</v>
      </c>
      <c r="H2" s="4" t="s">
        <v>240</v>
      </c>
      <c r="I2" s="4" t="s">
        <v>16</v>
      </c>
      <c r="J2" s="4" t="s">
        <v>241</v>
      </c>
      <c r="K2" s="4" t="s">
        <v>3</v>
      </c>
      <c r="L2" s="4" t="s">
        <v>242</v>
      </c>
      <c r="M2" s="4" t="s">
        <v>243</v>
      </c>
      <c r="N2" s="4" t="s">
        <v>22</v>
      </c>
      <c r="O2" s="4" t="s">
        <v>244</v>
      </c>
      <c r="P2" s="4" t="s">
        <v>245</v>
      </c>
      <c r="Q2" s="18" t="s">
        <v>246</v>
      </c>
      <c r="R2" s="18" t="s">
        <v>247</v>
      </c>
    </row>
    <row r="3" spans="2:18" ht="14.25" customHeight="1" x14ac:dyDescent="0.35">
      <c r="B3" s="35" t="str">
        <f t="shared" ref="B3:B66" si="0">E3&amp;J3</f>
        <v>221000000780Ara</v>
      </c>
      <c r="C3" s="35" t="s">
        <v>248</v>
      </c>
      <c r="D3" s="35" t="s">
        <v>249</v>
      </c>
      <c r="E3" s="36">
        <v>221000000780</v>
      </c>
      <c r="F3" s="36">
        <v>221000000780</v>
      </c>
      <c r="G3" s="35" t="s">
        <v>26</v>
      </c>
      <c r="H3" s="35" t="s">
        <v>250</v>
      </c>
      <c r="I3" s="35" t="s">
        <v>251</v>
      </c>
      <c r="J3" s="35" t="s">
        <v>12</v>
      </c>
      <c r="K3" s="37">
        <v>13735</v>
      </c>
      <c r="L3" s="38">
        <v>209.40989247353701</v>
      </c>
      <c r="M3" s="38">
        <f t="shared" ref="M3:M66" si="1">IFERROR(K3/L3,0)</f>
        <v>65.589069540903765</v>
      </c>
      <c r="N3" s="36">
        <v>20.8308304132599</v>
      </c>
      <c r="O3" s="39">
        <f t="shared" ref="O3:O66" si="2">IF(M3&gt;N3,N3,M3)</f>
        <v>20.8308304132599</v>
      </c>
      <c r="P3" s="37">
        <f t="shared" ref="P3:P66" si="3">O3*L3</f>
        <v>4362.1819569752406</v>
      </c>
      <c r="Q3" s="40">
        <f>IF(ISERROR(I3),"",IF(I3="","",IF(COUNTIF($I$3:I3,I3)&gt;1,"",IFERROR(SUMIFS(Base!$P$3:$P$980,Base!$I$3:$I$980,I3)/SUMIFS(Base!$L$3:$L$980,Base!$I$3:$I$980,I3),0)+ROW()/1000000)))</f>
        <v>18.63324254145186</v>
      </c>
      <c r="R3" s="40">
        <f>IF(ISERROR(G3),"",IF(G3="","",IF(COUNTIF($G$3:G3,G3)&gt;1,"",IFERROR(SUMIFS(Base!$P$3:$P$980,Base!$G$3:$G$980,G3)/SUMIFS(Base!$L$3:$L$980,Base!$G$3:$G$980,G3),0)+ROW()/1000000)))</f>
        <v>18.783917612357378</v>
      </c>
    </row>
    <row r="4" spans="2:18" ht="14.25" customHeight="1" x14ac:dyDescent="0.35">
      <c r="B4" s="35" t="str">
        <f t="shared" si="0"/>
        <v>221000000780Jpe</v>
      </c>
      <c r="C4" s="35" t="s">
        <v>248</v>
      </c>
      <c r="D4" s="35" t="s">
        <v>249</v>
      </c>
      <c r="E4" s="36">
        <v>221000000780</v>
      </c>
      <c r="F4" s="36">
        <v>221000000780</v>
      </c>
      <c r="G4" s="35" t="s">
        <v>26</v>
      </c>
      <c r="H4" s="35" t="s">
        <v>250</v>
      </c>
      <c r="I4" s="35" t="s">
        <v>251</v>
      </c>
      <c r="J4" s="35" t="s">
        <v>13</v>
      </c>
      <c r="K4" s="37">
        <v>2429</v>
      </c>
      <c r="L4" s="38">
        <v>94.522795699113701</v>
      </c>
      <c r="M4" s="38">
        <f t="shared" si="1"/>
        <v>25.697504840335309</v>
      </c>
      <c r="N4" s="36">
        <v>18</v>
      </c>
      <c r="O4" s="39">
        <f t="shared" si="2"/>
        <v>18</v>
      </c>
      <c r="P4" s="37">
        <f t="shared" si="3"/>
        <v>1701.4103225840465</v>
      </c>
      <c r="Q4" s="40" t="str">
        <f>IF(ISERROR(I4),"",IF(I4="","",IF(COUNTIF($I$3:I4,I4)&gt;1,"",IFERROR(SUMIFS(Base!$P$3:$P$980,Base!$I$3:$I$980,I4)/SUMIFS(Base!$L$3:$L$980,Base!$I$3:$I$980,I4),0)+ROW()/1000000)))</f>
        <v/>
      </c>
      <c r="R4" s="40" t="str">
        <f>IF(ISERROR(G4),"",IF(G4="","",IF(COUNTIF($G$3:G4,G4)&gt;1,"",IFERROR(SUMIFS(Base!$P$3:$P$980,Base!$G$3:$G$980,G4)/SUMIFS(Base!$L$3:$L$980,Base!$G$3:$G$980,G4),0)+ROW()/1000000)))</f>
        <v/>
      </c>
    </row>
    <row r="5" spans="2:18" ht="14.25" customHeight="1" x14ac:dyDescent="0.35">
      <c r="B5" s="35" t="str">
        <f t="shared" si="0"/>
        <v>201010000575Ara</v>
      </c>
      <c r="C5" s="35" t="s">
        <v>248</v>
      </c>
      <c r="D5" s="35" t="s">
        <v>237</v>
      </c>
      <c r="E5" s="36">
        <v>201010000575</v>
      </c>
      <c r="F5" s="36">
        <v>201010000575</v>
      </c>
      <c r="G5" s="35" t="s">
        <v>31</v>
      </c>
      <c r="H5" s="35" t="s">
        <v>252</v>
      </c>
      <c r="I5" s="35" t="s">
        <v>253</v>
      </c>
      <c r="J5" s="35" t="s">
        <v>12</v>
      </c>
      <c r="K5" s="37">
        <v>3646</v>
      </c>
      <c r="L5" s="38">
        <v>293.73135886016701</v>
      </c>
      <c r="M5" s="38">
        <f t="shared" si="1"/>
        <v>12.412702593786404</v>
      </c>
      <c r="N5" s="36">
        <v>7.03</v>
      </c>
      <c r="O5" s="39">
        <f t="shared" si="2"/>
        <v>7.03</v>
      </c>
      <c r="P5" s="37">
        <f t="shared" si="3"/>
        <v>2064.9314527869742</v>
      </c>
      <c r="Q5" s="40">
        <f>IF(ISERROR(I5),"",IF(I5="","",IF(COUNTIF($I$3:I5,I5)&gt;1,"",IFERROR(SUMIFS(Base!$P$3:$P$980,Base!$I$3:$I$980,I5)/SUMIFS(Base!$L$3:$L$980,Base!$I$3:$I$980,I5),0)+ROW()/1000000)))</f>
        <v>6.7995817336862716</v>
      </c>
      <c r="R5" s="40">
        <f>IF(ISERROR(G5),"",IF(G5="","",IF(COUNTIF($G$3:G5,G5)&gt;1,"",IFERROR(SUMIFS(Base!$P$3:$P$980,Base!$G$3:$G$980,G5)/SUMIFS(Base!$L$3:$L$980,Base!$G$3:$G$980,G5),0)+ROW()/1000000)))</f>
        <v>6.7995817336862716</v>
      </c>
    </row>
    <row r="6" spans="2:18" ht="14.25" customHeight="1" x14ac:dyDescent="0.35">
      <c r="B6" s="35" t="str">
        <f t="shared" si="0"/>
        <v>201010000575Jpe</v>
      </c>
      <c r="C6" s="35" t="s">
        <v>248</v>
      </c>
      <c r="D6" s="35" t="s">
        <v>237</v>
      </c>
      <c r="E6" s="36">
        <v>201010000575</v>
      </c>
      <c r="F6" s="36">
        <v>201010000575</v>
      </c>
      <c r="G6" s="35" t="s">
        <v>31</v>
      </c>
      <c r="H6" s="35" t="s">
        <v>252</v>
      </c>
      <c r="I6" s="35" t="s">
        <v>253</v>
      </c>
      <c r="J6" s="35" t="s">
        <v>13</v>
      </c>
      <c r="K6" s="37">
        <v>669</v>
      </c>
      <c r="L6" s="38">
        <v>113.338551546061</v>
      </c>
      <c r="M6" s="38">
        <f t="shared" si="1"/>
        <v>5.9026693995477535</v>
      </c>
      <c r="N6" s="36">
        <v>7.03</v>
      </c>
      <c r="O6" s="39">
        <f t="shared" si="2"/>
        <v>5.9026693995477535</v>
      </c>
      <c r="P6" s="37">
        <f t="shared" si="3"/>
        <v>669</v>
      </c>
      <c r="Q6" s="40" t="str">
        <f>IF(ISERROR(I6),"",IF(I6="","",IF(COUNTIF($I$3:I6,I6)&gt;1,"",IFERROR(SUMIFS(Base!$P$3:$P$980,Base!$I$3:$I$980,I6)/SUMIFS(Base!$L$3:$L$980,Base!$I$3:$I$980,I6),0)+ROW()/1000000)))</f>
        <v/>
      </c>
      <c r="R6" s="40" t="str">
        <f>IF(ISERROR(G6),"",IF(G6="","",IF(COUNTIF($G$3:G6,G6)&gt;1,"",IFERROR(SUMIFS(Base!$P$3:$P$980,Base!$G$3:$G$980,G6)/SUMIFS(Base!$L$3:$L$980,Base!$G$3:$G$980,G6),0)+ROW()/1000000)))</f>
        <v/>
      </c>
    </row>
    <row r="7" spans="2:18" ht="14.25" customHeight="1" x14ac:dyDescent="0.35">
      <c r="B7" s="35" t="str">
        <f t="shared" si="0"/>
        <v>201010000262Ara</v>
      </c>
      <c r="C7" s="35" t="s">
        <v>248</v>
      </c>
      <c r="D7" s="35" t="s">
        <v>237</v>
      </c>
      <c r="E7" s="36">
        <v>201010000262</v>
      </c>
      <c r="F7" s="36">
        <v>201010000262</v>
      </c>
      <c r="G7" s="35" t="s">
        <v>31</v>
      </c>
      <c r="H7" s="35" t="s">
        <v>254</v>
      </c>
      <c r="I7" s="35" t="s">
        <v>253</v>
      </c>
      <c r="J7" s="35" t="s">
        <v>12</v>
      </c>
      <c r="K7" s="37">
        <v>3448</v>
      </c>
      <c r="L7" s="38">
        <v>272.30957678403098</v>
      </c>
      <c r="M7" s="38">
        <f t="shared" si="1"/>
        <v>12.662059266224825</v>
      </c>
      <c r="N7" s="36">
        <v>7.86</v>
      </c>
      <c r="O7" s="39">
        <f t="shared" si="2"/>
        <v>7.86</v>
      </c>
      <c r="P7" s="37">
        <f t="shared" si="3"/>
        <v>2140.3532735224835</v>
      </c>
      <c r="Q7" s="40" t="str">
        <f>IF(ISERROR(I7),"",IF(I7="","",IF(COUNTIF($I$3:I7,I7)&gt;1,"",IFERROR(SUMIFS(Base!$P$3:$P$980,Base!$I$3:$I$980,I7)/SUMIFS(Base!$L$3:$L$980,Base!$I$3:$I$980,I7),0)+ROW()/1000000)))</f>
        <v/>
      </c>
      <c r="R7" s="40" t="str">
        <f>IF(ISERROR(G7),"",IF(G7="","",IF(COUNTIF($G$3:G7,G7)&gt;1,"",IFERROR(SUMIFS(Base!$P$3:$P$980,Base!$G$3:$G$980,G7)/SUMIFS(Base!$L$3:$L$980,Base!$G$3:$G$980,G7),0)+ROW()/1000000)))</f>
        <v/>
      </c>
    </row>
    <row r="8" spans="2:18" ht="14.25" customHeight="1" x14ac:dyDescent="0.35">
      <c r="B8" s="35" t="str">
        <f t="shared" si="0"/>
        <v>201010000262Jpe</v>
      </c>
      <c r="C8" s="35" t="s">
        <v>248</v>
      </c>
      <c r="D8" s="35" t="s">
        <v>237</v>
      </c>
      <c r="E8" s="36">
        <v>201010000262</v>
      </c>
      <c r="F8" s="36">
        <v>201010000262</v>
      </c>
      <c r="G8" s="35" t="s">
        <v>31</v>
      </c>
      <c r="H8" s="35" t="s">
        <v>254</v>
      </c>
      <c r="I8" s="35" t="s">
        <v>253</v>
      </c>
      <c r="J8" s="35" t="s">
        <v>13</v>
      </c>
      <c r="K8" s="37">
        <v>757</v>
      </c>
      <c r="L8" s="38">
        <v>192.45040443594499</v>
      </c>
      <c r="M8" s="38">
        <f t="shared" si="1"/>
        <v>3.9334809517220797</v>
      </c>
      <c r="N8" s="36">
        <v>7.86</v>
      </c>
      <c r="O8" s="39">
        <f t="shared" si="2"/>
        <v>3.9334809517220797</v>
      </c>
      <c r="P8" s="37">
        <f t="shared" si="3"/>
        <v>757</v>
      </c>
      <c r="Q8" s="40" t="str">
        <f>IF(ISERROR(I8),"",IF(I8="","",IF(COUNTIF($I$3:I8,I8)&gt;1,"",IFERROR(SUMIFS(Base!$P$3:$P$980,Base!$I$3:$I$980,I8)/SUMIFS(Base!$L$3:$L$980,Base!$I$3:$I$980,I8),0)+ROW()/1000000)))</f>
        <v/>
      </c>
      <c r="R8" s="40" t="str">
        <f>IF(ISERROR(G8),"",IF(G8="","",IF(COUNTIF($G$3:G8,G8)&gt;1,"",IFERROR(SUMIFS(Base!$P$3:$P$980,Base!$G$3:$G$980,G8)/SUMIFS(Base!$L$3:$L$980,Base!$G$3:$G$980,G8),0)+ROW()/1000000)))</f>
        <v/>
      </c>
    </row>
    <row r="9" spans="2:18" ht="14.25" customHeight="1" x14ac:dyDescent="0.35">
      <c r="B9" s="35" t="str">
        <f t="shared" si="0"/>
        <v>201010000218Ara</v>
      </c>
      <c r="C9" s="35" t="s">
        <v>248</v>
      </c>
      <c r="D9" s="35" t="s">
        <v>237</v>
      </c>
      <c r="E9" s="36">
        <v>201010000218</v>
      </c>
      <c r="F9" s="36">
        <v>201010000218</v>
      </c>
      <c r="G9" s="35" t="s">
        <v>36</v>
      </c>
      <c r="H9" s="35" t="s">
        <v>255</v>
      </c>
      <c r="I9" s="35" t="s">
        <v>256</v>
      </c>
      <c r="J9" s="35" t="s">
        <v>12</v>
      </c>
      <c r="K9" s="37">
        <v>3948</v>
      </c>
      <c r="L9" s="38">
        <v>161.22672935717199</v>
      </c>
      <c r="M9" s="38">
        <f t="shared" si="1"/>
        <v>24.487254785488073</v>
      </c>
      <c r="N9" s="36">
        <v>14.2683490395071</v>
      </c>
      <c r="O9" s="39">
        <f t="shared" si="2"/>
        <v>14.2683490395071</v>
      </c>
      <c r="P9" s="37">
        <f t="shared" si="3"/>
        <v>2300.4392489662764</v>
      </c>
      <c r="Q9" s="40">
        <f>IF(ISERROR(I9),"",IF(I9="","",IF(COUNTIF($I$3:I9,I9)&gt;1,"",IFERROR(SUMIFS(Base!$P$3:$P$980,Base!$I$3:$I$980,I9)/SUMIFS(Base!$L$3:$L$980,Base!$I$3:$I$980,I9),0)+ROW()/1000000)))</f>
        <v>14.684618150114339</v>
      </c>
      <c r="R9" s="40">
        <f>IF(ISERROR(G9),"",IF(G9="","",IF(COUNTIF($G$3:G9,G9)&gt;1,"",IFERROR(SUMIFS(Base!$P$3:$P$980,Base!$G$3:$G$980,G9)/SUMIFS(Base!$L$3:$L$980,Base!$G$3:$G$980,G9),0)+ROW()/1000000)))</f>
        <v>9.8520263577356619</v>
      </c>
    </row>
    <row r="10" spans="2:18" ht="14.25" customHeight="1" x14ac:dyDescent="0.35">
      <c r="B10" s="35" t="str">
        <f t="shared" si="0"/>
        <v>201010000218Jpe</v>
      </c>
      <c r="C10" s="35" t="s">
        <v>248</v>
      </c>
      <c r="D10" s="35" t="s">
        <v>237</v>
      </c>
      <c r="E10" s="36">
        <v>201010000218</v>
      </c>
      <c r="F10" s="36">
        <v>201010000218</v>
      </c>
      <c r="G10" s="35" t="s">
        <v>36</v>
      </c>
      <c r="H10" s="35" t="s">
        <v>255</v>
      </c>
      <c r="I10" s="35" t="s">
        <v>256</v>
      </c>
      <c r="J10" s="35" t="s">
        <v>13</v>
      </c>
      <c r="K10" s="37">
        <v>1202</v>
      </c>
      <c r="L10" s="38">
        <v>64.2740516046983</v>
      </c>
      <c r="M10" s="38">
        <f t="shared" si="1"/>
        <v>18.701170534457738</v>
      </c>
      <c r="N10" s="36">
        <v>15</v>
      </c>
      <c r="O10" s="39">
        <f t="shared" si="2"/>
        <v>15</v>
      </c>
      <c r="P10" s="37">
        <f t="shared" si="3"/>
        <v>964.11077407047446</v>
      </c>
      <c r="Q10" s="40" t="str">
        <f>IF(ISERROR(I10),"",IF(I10="","",IF(COUNTIF($I$3:I10,I10)&gt;1,"",IFERROR(SUMIFS(Base!$P$3:$P$980,Base!$I$3:$I$980,I10)/SUMIFS(Base!$L$3:$L$980,Base!$I$3:$I$980,I10),0)+ROW()/1000000)))</f>
        <v/>
      </c>
      <c r="R10" s="40" t="str">
        <f>IF(ISERROR(G10),"",IF(G10="","",IF(COUNTIF($G$3:G10,G10)&gt;1,"",IFERROR(SUMIFS(Base!$P$3:$P$980,Base!$G$3:$G$980,G10)/SUMIFS(Base!$L$3:$L$980,Base!$G$3:$G$980,G10),0)+ROW()/1000000)))</f>
        <v/>
      </c>
    </row>
    <row r="11" spans="2:18" ht="14.25" customHeight="1" x14ac:dyDescent="0.35">
      <c r="B11" s="35" t="str">
        <f t="shared" si="0"/>
        <v>201010000209Ara</v>
      </c>
      <c r="C11" s="35" t="s">
        <v>248</v>
      </c>
      <c r="D11" s="35" t="s">
        <v>237</v>
      </c>
      <c r="E11" s="36">
        <v>201010000209</v>
      </c>
      <c r="F11" s="36">
        <v>201010000209</v>
      </c>
      <c r="G11" s="35" t="s">
        <v>36</v>
      </c>
      <c r="H11" s="35" t="s">
        <v>257</v>
      </c>
      <c r="I11" s="35" t="s">
        <v>258</v>
      </c>
      <c r="J11" s="35" t="s">
        <v>12</v>
      </c>
      <c r="K11" s="37">
        <v>5121</v>
      </c>
      <c r="L11" s="38">
        <v>315.94685216568797</v>
      </c>
      <c r="M11" s="38">
        <f t="shared" si="1"/>
        <v>16.208422286525771</v>
      </c>
      <c r="N11" s="36">
        <v>7</v>
      </c>
      <c r="O11" s="39">
        <f t="shared" si="2"/>
        <v>7</v>
      </c>
      <c r="P11" s="37">
        <f t="shared" si="3"/>
        <v>2211.6279651598156</v>
      </c>
      <c r="Q11" s="40">
        <f>IF(ISERROR(I11),"",IF(I11="","",IF(COUNTIF($I$3:I11,I11)&gt;1,"",IFERROR(SUMIFS(Base!$P$3:$P$980,Base!$I$3:$I$980,I11)/SUMIFS(Base!$L$3:$L$980,Base!$I$3:$I$980,I11),0)+ROW()/1000000)))</f>
        <v>7.0000110000000006</v>
      </c>
      <c r="R11" s="40" t="str">
        <f>IF(ISERROR(G11),"",IF(G11="","",IF(COUNTIF($G$3:G11,G11)&gt;1,"",IFERROR(SUMIFS(Base!$P$3:$P$980,Base!$G$3:$G$980,G11)/SUMIFS(Base!$L$3:$L$980,Base!$G$3:$G$980,G11),0)+ROW()/1000000)))</f>
        <v/>
      </c>
    </row>
    <row r="12" spans="2:18" ht="14.25" customHeight="1" x14ac:dyDescent="0.35">
      <c r="B12" s="35" t="str">
        <f t="shared" si="0"/>
        <v>201010000209Jpe</v>
      </c>
      <c r="C12" s="35" t="s">
        <v>248</v>
      </c>
      <c r="D12" s="35" t="s">
        <v>237</v>
      </c>
      <c r="E12" s="36">
        <v>201010000209</v>
      </c>
      <c r="F12" s="36">
        <v>201010000209</v>
      </c>
      <c r="G12" s="35" t="s">
        <v>36</v>
      </c>
      <c r="H12" s="35" t="s">
        <v>257</v>
      </c>
      <c r="I12" s="35" t="s">
        <v>258</v>
      </c>
      <c r="J12" s="35" t="s">
        <v>13</v>
      </c>
      <c r="K12" s="37">
        <v>1769</v>
      </c>
      <c r="L12" s="38">
        <v>122.477914890294</v>
      </c>
      <c r="M12" s="38">
        <f t="shared" si="1"/>
        <v>14.443420281807784</v>
      </c>
      <c r="N12" s="36">
        <v>7</v>
      </c>
      <c r="O12" s="39">
        <f t="shared" si="2"/>
        <v>7</v>
      </c>
      <c r="P12" s="37">
        <f t="shared" si="3"/>
        <v>857.34540423205806</v>
      </c>
      <c r="Q12" s="40" t="str">
        <f>IF(ISERROR(I12),"",IF(I12="","",IF(COUNTIF($I$3:I12,I12)&gt;1,"",IFERROR(SUMIFS(Base!$P$3:$P$980,Base!$I$3:$I$980,I12)/SUMIFS(Base!$L$3:$L$980,Base!$I$3:$I$980,I12),0)+ROW()/1000000)))</f>
        <v/>
      </c>
      <c r="R12" s="40" t="str">
        <f>IF(ISERROR(G12),"",IF(G12="","",IF(COUNTIF($G$3:G12,G12)&gt;1,"",IFERROR(SUMIFS(Base!$P$3:$P$980,Base!$G$3:$G$980,G12)/SUMIFS(Base!$L$3:$L$980,Base!$G$3:$G$980,G12),0)+ROW()/1000000)))</f>
        <v/>
      </c>
    </row>
    <row r="13" spans="2:18" ht="14.25" customHeight="1" x14ac:dyDescent="0.35">
      <c r="B13" s="35" t="str">
        <f t="shared" si="0"/>
        <v>201010000645Ara</v>
      </c>
      <c r="C13" s="35" t="s">
        <v>248</v>
      </c>
      <c r="D13" s="35" t="s">
        <v>237</v>
      </c>
      <c r="E13" s="36">
        <v>201010000645</v>
      </c>
      <c r="F13" s="36">
        <v>201010000645</v>
      </c>
      <c r="G13" s="35" t="s">
        <v>36</v>
      </c>
      <c r="H13" s="35" t="s">
        <v>259</v>
      </c>
      <c r="I13" s="35" t="s">
        <v>258</v>
      </c>
      <c r="J13" s="35" t="s">
        <v>12</v>
      </c>
      <c r="K13" s="37">
        <v>5060</v>
      </c>
      <c r="L13" s="38">
        <v>264.36240454463598</v>
      </c>
      <c r="M13" s="38">
        <f t="shared" si="1"/>
        <v>19.140391799340176</v>
      </c>
      <c r="N13" s="36">
        <v>7</v>
      </c>
      <c r="O13" s="39">
        <f t="shared" si="2"/>
        <v>7</v>
      </c>
      <c r="P13" s="37">
        <f t="shared" si="3"/>
        <v>1850.536831812452</v>
      </c>
      <c r="Q13" s="40" t="str">
        <f>IF(ISERROR(I13),"",IF(I13="","",IF(COUNTIF($I$3:I13,I13)&gt;1,"",IFERROR(SUMIFS(Base!$P$3:$P$980,Base!$I$3:$I$980,I13)/SUMIFS(Base!$L$3:$L$980,Base!$I$3:$I$980,I13),0)+ROW()/1000000)))</f>
        <v/>
      </c>
      <c r="R13" s="40" t="str">
        <f>IF(ISERROR(G13),"",IF(G13="","",IF(COUNTIF($G$3:G13,G13)&gt;1,"",IFERROR(SUMIFS(Base!$P$3:$P$980,Base!$G$3:$G$980,G13)/SUMIFS(Base!$L$3:$L$980,Base!$G$3:$G$980,G13),0)+ROW()/1000000)))</f>
        <v/>
      </c>
    </row>
    <row r="14" spans="2:18" ht="14.25" customHeight="1" x14ac:dyDescent="0.35">
      <c r="B14" s="35" t="str">
        <f t="shared" si="0"/>
        <v>201010000645Jpe</v>
      </c>
      <c r="C14" s="35" t="s">
        <v>248</v>
      </c>
      <c r="D14" s="35" t="s">
        <v>237</v>
      </c>
      <c r="E14" s="36">
        <v>201010000645</v>
      </c>
      <c r="F14" s="36">
        <v>201010000645</v>
      </c>
      <c r="G14" s="35" t="s">
        <v>36</v>
      </c>
      <c r="H14" s="35" t="s">
        <v>259</v>
      </c>
      <c r="I14" s="35" t="s">
        <v>258</v>
      </c>
      <c r="J14" s="35" t="s">
        <v>13</v>
      </c>
      <c r="K14" s="37">
        <v>2623</v>
      </c>
      <c r="L14" s="38">
        <v>192.93754475203801</v>
      </c>
      <c r="M14" s="38">
        <f t="shared" si="1"/>
        <v>13.595072972298167</v>
      </c>
      <c r="N14" s="36">
        <v>7</v>
      </c>
      <c r="O14" s="39">
        <f t="shared" si="2"/>
        <v>7</v>
      </c>
      <c r="P14" s="37">
        <f t="shared" si="3"/>
        <v>1350.562813264266</v>
      </c>
      <c r="Q14" s="40" t="str">
        <f>IF(ISERROR(I14),"",IF(I14="","",IF(COUNTIF($I$3:I14,I14)&gt;1,"",IFERROR(SUMIFS(Base!$P$3:$P$980,Base!$I$3:$I$980,I14)/SUMIFS(Base!$L$3:$L$980,Base!$I$3:$I$980,I14),0)+ROW()/1000000)))</f>
        <v/>
      </c>
      <c r="R14" s="40" t="str">
        <f>IF(ISERROR(G14),"",IF(G14="","",IF(COUNTIF($G$3:G14,G14)&gt;1,"",IFERROR(SUMIFS(Base!$P$3:$P$980,Base!$G$3:$G$980,G14)/SUMIFS(Base!$L$3:$L$980,Base!$G$3:$G$980,G14),0)+ROW()/1000000)))</f>
        <v/>
      </c>
    </row>
    <row r="15" spans="2:18" ht="14.25" customHeight="1" x14ac:dyDescent="0.35">
      <c r="B15" s="35" t="str">
        <f t="shared" si="0"/>
        <v>221000000541Ara</v>
      </c>
      <c r="C15" s="35" t="s">
        <v>248</v>
      </c>
      <c r="D15" s="35" t="s">
        <v>249</v>
      </c>
      <c r="E15" s="36">
        <v>221000000541</v>
      </c>
      <c r="F15" s="36">
        <v>221000000541</v>
      </c>
      <c r="G15" s="35" t="s">
        <v>26</v>
      </c>
      <c r="H15" s="35" t="s">
        <v>260</v>
      </c>
      <c r="I15" s="35" t="s">
        <v>251</v>
      </c>
      <c r="J15" s="35" t="s">
        <v>12</v>
      </c>
      <c r="K15" s="37">
        <v>3946</v>
      </c>
      <c r="L15" s="38">
        <v>115.853080790888</v>
      </c>
      <c r="M15" s="38">
        <f t="shared" si="1"/>
        <v>34.060380380582494</v>
      </c>
      <c r="N15" s="36">
        <v>15</v>
      </c>
      <c r="O15" s="39">
        <f t="shared" si="2"/>
        <v>15</v>
      </c>
      <c r="P15" s="37">
        <f t="shared" si="3"/>
        <v>1737.79621186332</v>
      </c>
      <c r="Q15" s="40" t="str">
        <f>IF(ISERROR(I15),"",IF(I15="","",IF(COUNTIF($I$3:I15,I15)&gt;1,"",IFERROR(SUMIFS(Base!$P$3:$P$980,Base!$I$3:$I$980,I15)/SUMIFS(Base!$L$3:$L$980,Base!$I$3:$I$980,I15),0)+ROW()/1000000)))</f>
        <v/>
      </c>
      <c r="R15" s="40" t="str">
        <f>IF(ISERROR(G15),"",IF(G15="","",IF(COUNTIF($G$3:G15,G15)&gt;1,"",IFERROR(SUMIFS(Base!$P$3:$P$980,Base!$G$3:$G$980,G15)/SUMIFS(Base!$L$3:$L$980,Base!$G$3:$G$980,G15),0)+ROW()/1000000)))</f>
        <v/>
      </c>
    </row>
    <row r="16" spans="2:18" ht="14.25" customHeight="1" x14ac:dyDescent="0.35">
      <c r="B16" s="35" t="str">
        <f t="shared" si="0"/>
        <v>221000000541Jpe</v>
      </c>
      <c r="C16" s="35" t="s">
        <v>248</v>
      </c>
      <c r="D16" s="35" t="s">
        <v>249</v>
      </c>
      <c r="E16" s="36">
        <v>221000000541</v>
      </c>
      <c r="F16" s="36">
        <v>221000000541</v>
      </c>
      <c r="G16" s="35" t="s">
        <v>26</v>
      </c>
      <c r="H16" s="35" t="s">
        <v>260</v>
      </c>
      <c r="I16" s="35" t="s">
        <v>251</v>
      </c>
      <c r="J16" s="35" t="s">
        <v>13</v>
      </c>
      <c r="K16" s="37">
        <v>1154</v>
      </c>
      <c r="L16" s="38">
        <v>59.081949681612997</v>
      </c>
      <c r="M16" s="38">
        <f t="shared" si="1"/>
        <v>19.532192255313106</v>
      </c>
      <c r="N16" s="36">
        <v>15</v>
      </c>
      <c r="O16" s="39">
        <f t="shared" si="2"/>
        <v>15</v>
      </c>
      <c r="P16" s="37">
        <f t="shared" si="3"/>
        <v>886.22924522419498</v>
      </c>
      <c r="Q16" s="40" t="str">
        <f>IF(ISERROR(I16),"",IF(I16="","",IF(COUNTIF($I$3:I16,I16)&gt;1,"",IFERROR(SUMIFS(Base!$P$3:$P$980,Base!$I$3:$I$980,I16)/SUMIFS(Base!$L$3:$L$980,Base!$I$3:$I$980,I16),0)+ROW()/1000000)))</f>
        <v/>
      </c>
      <c r="R16" s="40" t="str">
        <f>IF(ISERROR(G16),"",IF(G16="","",IF(COUNTIF($G$3:G16,G16)&gt;1,"",IFERROR(SUMIFS(Base!$P$3:$P$980,Base!$G$3:$G$980,G16)/SUMIFS(Base!$L$3:$L$980,Base!$G$3:$G$980,G16),0)+ROW()/1000000)))</f>
        <v/>
      </c>
    </row>
    <row r="17" spans="2:18" ht="14.25" customHeight="1" x14ac:dyDescent="0.35">
      <c r="B17" s="35" t="str">
        <f t="shared" si="0"/>
        <v>201080000086Ara</v>
      </c>
      <c r="C17" s="35" t="s">
        <v>248</v>
      </c>
      <c r="D17" s="35" t="s">
        <v>237</v>
      </c>
      <c r="E17" s="36">
        <v>201080000086</v>
      </c>
      <c r="F17" s="36">
        <v>201080000086</v>
      </c>
      <c r="G17" s="35" t="s">
        <v>26</v>
      </c>
      <c r="H17" s="35" t="s">
        <v>261</v>
      </c>
      <c r="I17" s="35" t="s">
        <v>251</v>
      </c>
      <c r="J17" s="35" t="s">
        <v>12</v>
      </c>
      <c r="K17" s="37">
        <v>7159</v>
      </c>
      <c r="L17" s="38">
        <v>124.850384893521</v>
      </c>
      <c r="M17" s="38">
        <f t="shared" si="1"/>
        <v>57.34063219833542</v>
      </c>
      <c r="N17" s="36">
        <v>20.8178968367056</v>
      </c>
      <c r="O17" s="39">
        <f t="shared" si="2"/>
        <v>20.8178968367056</v>
      </c>
      <c r="P17" s="37">
        <f t="shared" si="3"/>
        <v>2599.1224327363075</v>
      </c>
      <c r="Q17" s="40" t="str">
        <f>IF(ISERROR(I17),"",IF(I17="","",IF(COUNTIF($I$3:I17,I17)&gt;1,"",IFERROR(SUMIFS(Base!$P$3:$P$980,Base!$I$3:$I$980,I17)/SUMIFS(Base!$L$3:$L$980,Base!$I$3:$I$980,I17),0)+ROW()/1000000)))</f>
        <v/>
      </c>
      <c r="R17" s="40" t="str">
        <f>IF(ISERROR(G17),"",IF(G17="","",IF(COUNTIF($G$3:G17,G17)&gt;1,"",IFERROR(SUMIFS(Base!$P$3:$P$980,Base!$G$3:$G$980,G17)/SUMIFS(Base!$L$3:$L$980,Base!$G$3:$G$980,G17),0)+ROW()/1000000)))</f>
        <v/>
      </c>
    </row>
    <row r="18" spans="2:18" ht="14.25" customHeight="1" x14ac:dyDescent="0.35">
      <c r="B18" s="35" t="str">
        <f t="shared" si="0"/>
        <v>201080000086Jpe</v>
      </c>
      <c r="C18" s="35" t="s">
        <v>248</v>
      </c>
      <c r="D18" s="35" t="s">
        <v>237</v>
      </c>
      <c r="E18" s="36">
        <v>201080000086</v>
      </c>
      <c r="F18" s="36">
        <v>201080000086</v>
      </c>
      <c r="G18" s="35" t="s">
        <v>26</v>
      </c>
      <c r="H18" s="35" t="s">
        <v>261</v>
      </c>
      <c r="I18" s="35" t="s">
        <v>251</v>
      </c>
      <c r="J18" s="35" t="s">
        <v>13</v>
      </c>
      <c r="K18" s="37">
        <v>1385</v>
      </c>
      <c r="L18" s="38">
        <v>59.244769443756503</v>
      </c>
      <c r="M18" s="38">
        <f t="shared" si="1"/>
        <v>23.377591186591374</v>
      </c>
      <c r="N18" s="36">
        <v>18</v>
      </c>
      <c r="O18" s="39">
        <f t="shared" si="2"/>
        <v>18</v>
      </c>
      <c r="P18" s="37">
        <f t="shared" si="3"/>
        <v>1066.4058499876171</v>
      </c>
      <c r="Q18" s="40" t="str">
        <f>IF(ISERROR(I18),"",IF(I18="","",IF(COUNTIF($I$3:I18,I18)&gt;1,"",IFERROR(SUMIFS(Base!$P$3:$P$980,Base!$I$3:$I$980,I18)/SUMIFS(Base!$L$3:$L$980,Base!$I$3:$I$980,I18),0)+ROW()/1000000)))</f>
        <v/>
      </c>
      <c r="R18" s="40" t="str">
        <f>IF(ISERROR(G18),"",IF(G18="","",IF(COUNTIF($G$3:G18,G18)&gt;1,"",IFERROR(SUMIFS(Base!$P$3:$P$980,Base!$G$3:$G$980,G18)/SUMIFS(Base!$L$3:$L$980,Base!$G$3:$G$980,G18),0)+ROW()/1000000)))</f>
        <v/>
      </c>
    </row>
    <row r="19" spans="2:18" ht="14.25" customHeight="1" x14ac:dyDescent="0.35">
      <c r="B19" s="35" t="str">
        <f t="shared" si="0"/>
        <v>201010000565Ara</v>
      </c>
      <c r="C19" s="35" t="s">
        <v>248</v>
      </c>
      <c r="D19" s="35" t="s">
        <v>249</v>
      </c>
      <c r="E19" s="36">
        <v>201010000565</v>
      </c>
      <c r="F19" s="36">
        <v>201010000565</v>
      </c>
      <c r="G19" s="35" t="s">
        <v>36</v>
      </c>
      <c r="H19" s="35" t="s">
        <v>262</v>
      </c>
      <c r="I19" s="35" t="s">
        <v>256</v>
      </c>
      <c r="J19" s="35" t="s">
        <v>12</v>
      </c>
      <c r="K19" s="37">
        <v>1307</v>
      </c>
      <c r="L19" s="38">
        <v>88.979760232657199</v>
      </c>
      <c r="M19" s="38">
        <f t="shared" si="1"/>
        <v>14.688733669123859</v>
      </c>
      <c r="N19" s="36">
        <v>19.443118681118499</v>
      </c>
      <c r="O19" s="39">
        <f t="shared" si="2"/>
        <v>14.688733669123859</v>
      </c>
      <c r="P19" s="37">
        <f t="shared" si="3"/>
        <v>1307</v>
      </c>
      <c r="Q19" s="40" t="str">
        <f>IF(ISERROR(I19),"",IF(I19="","",IF(COUNTIF($I$3:I19,I19)&gt;1,"",IFERROR(SUMIFS(Base!$P$3:$P$980,Base!$I$3:$I$980,I19)/SUMIFS(Base!$L$3:$L$980,Base!$I$3:$I$980,I19),0)+ROW()/1000000)))</f>
        <v/>
      </c>
      <c r="R19" s="40" t="str">
        <f>IF(ISERROR(G19),"",IF(G19="","",IF(COUNTIF($G$3:G19,G19)&gt;1,"",IFERROR(SUMIFS(Base!$P$3:$P$980,Base!$G$3:$G$980,G19)/SUMIFS(Base!$L$3:$L$980,Base!$G$3:$G$980,G19),0)+ROW()/1000000)))</f>
        <v/>
      </c>
    </row>
    <row r="20" spans="2:18" ht="14.25" customHeight="1" x14ac:dyDescent="0.35">
      <c r="B20" s="35" t="str">
        <f t="shared" si="0"/>
        <v>201010000565Jpe</v>
      </c>
      <c r="C20" s="35" t="s">
        <v>248</v>
      </c>
      <c r="D20" s="35" t="s">
        <v>249</v>
      </c>
      <c r="E20" s="36">
        <v>201010000565</v>
      </c>
      <c r="F20" s="36">
        <v>201010000565</v>
      </c>
      <c r="G20" s="35" t="s">
        <v>36</v>
      </c>
      <c r="H20" s="35" t="s">
        <v>262</v>
      </c>
      <c r="I20" s="35" t="s">
        <v>256</v>
      </c>
      <c r="J20" s="35" t="s">
        <v>13</v>
      </c>
      <c r="K20" s="37">
        <v>532</v>
      </c>
      <c r="L20" s="38">
        <v>33.063610022940402</v>
      </c>
      <c r="M20" s="38">
        <f t="shared" si="1"/>
        <v>16.090197036285041</v>
      </c>
      <c r="N20" s="36">
        <v>24</v>
      </c>
      <c r="O20" s="39">
        <f t="shared" si="2"/>
        <v>16.090197036285041</v>
      </c>
      <c r="P20" s="37">
        <f t="shared" si="3"/>
        <v>532</v>
      </c>
      <c r="Q20" s="40" t="str">
        <f>IF(ISERROR(I20),"",IF(I20="","",IF(COUNTIF($I$3:I20,I20)&gt;1,"",IFERROR(SUMIFS(Base!$P$3:$P$980,Base!$I$3:$I$980,I20)/SUMIFS(Base!$L$3:$L$980,Base!$I$3:$I$980,I20),0)+ROW()/1000000)))</f>
        <v/>
      </c>
      <c r="R20" s="40" t="str">
        <f>IF(ISERROR(G20),"",IF(G20="","",IF(COUNTIF($G$3:G20,G20)&gt;1,"",IFERROR(SUMIFS(Base!$P$3:$P$980,Base!$G$3:$G$980,G20)/SUMIFS(Base!$L$3:$L$980,Base!$G$3:$G$980,G20),0)+ROW()/1000000)))</f>
        <v/>
      </c>
    </row>
    <row r="21" spans="2:18" ht="14.25" customHeight="1" x14ac:dyDescent="0.35">
      <c r="B21" s="35" t="str">
        <f t="shared" si="0"/>
        <v>201010000317Ara</v>
      </c>
      <c r="C21" s="35" t="s">
        <v>248</v>
      </c>
      <c r="D21" s="35" t="s">
        <v>237</v>
      </c>
      <c r="E21" s="36">
        <v>201010000317</v>
      </c>
      <c r="F21" s="36">
        <v>201010000317</v>
      </c>
      <c r="G21" s="35" t="s">
        <v>50</v>
      </c>
      <c r="H21" s="35" t="s">
        <v>263</v>
      </c>
      <c r="I21" s="35" t="s">
        <v>264</v>
      </c>
      <c r="J21" s="35" t="s">
        <v>12</v>
      </c>
      <c r="K21" s="37">
        <v>1242</v>
      </c>
      <c r="L21" s="38">
        <v>73.593445341090501</v>
      </c>
      <c r="M21" s="38">
        <f t="shared" si="1"/>
        <v>16.876502985334973</v>
      </c>
      <c r="N21" s="36">
        <v>15.9663709387364</v>
      </c>
      <c r="O21" s="39">
        <f t="shared" si="2"/>
        <v>15.9663709387364</v>
      </c>
      <c r="P21" s="37">
        <f t="shared" si="3"/>
        <v>1175.0202469754731</v>
      </c>
      <c r="Q21" s="40">
        <f>IF(ISERROR(I21),"",IF(I21="","",IF(COUNTIF($I$3:I21,I21)&gt;1,"",IFERROR(SUMIFS(Base!$P$3:$P$980,Base!$I$3:$I$980,I21)/SUMIFS(Base!$L$3:$L$980,Base!$I$3:$I$980,I21),0)+ROW()/1000000)))</f>
        <v>18.057402884590601</v>
      </c>
      <c r="R21" s="40">
        <f>IF(ISERROR(G21),"",IF(G21="","",IF(COUNTIF($G$3:G21,G21)&gt;1,"",IFERROR(SUMIFS(Base!$P$3:$P$980,Base!$G$3:$G$980,G21)/SUMIFS(Base!$L$3:$L$980,Base!$G$3:$G$980,G21),0)+ROW()/1000000)))</f>
        <v>17.046150350358214</v>
      </c>
    </row>
    <row r="22" spans="2:18" ht="14.25" customHeight="1" x14ac:dyDescent="0.35">
      <c r="B22" s="35" t="str">
        <f t="shared" si="0"/>
        <v>201010000317Jpe</v>
      </c>
      <c r="C22" s="35" t="s">
        <v>248</v>
      </c>
      <c r="D22" s="35" t="s">
        <v>237</v>
      </c>
      <c r="E22" s="36">
        <v>201010000317</v>
      </c>
      <c r="F22" s="36">
        <v>201010000317</v>
      </c>
      <c r="G22" s="35" t="s">
        <v>50</v>
      </c>
      <c r="H22" s="35" t="s">
        <v>263</v>
      </c>
      <c r="I22" s="35" t="s">
        <v>264</v>
      </c>
      <c r="J22" s="35" t="s">
        <v>13</v>
      </c>
      <c r="K22" s="37">
        <v>349</v>
      </c>
      <c r="L22" s="38">
        <v>36.106836917851602</v>
      </c>
      <c r="M22" s="38">
        <f t="shared" si="1"/>
        <v>9.6657594458918314</v>
      </c>
      <c r="N22" s="36">
        <v>18</v>
      </c>
      <c r="O22" s="39">
        <f t="shared" si="2"/>
        <v>9.6657594458918314</v>
      </c>
      <c r="P22" s="37">
        <f t="shared" si="3"/>
        <v>349</v>
      </c>
      <c r="Q22" s="40" t="str">
        <f>IF(ISERROR(I22),"",IF(I22="","",IF(COUNTIF($I$3:I22,I22)&gt;1,"",IFERROR(SUMIFS(Base!$P$3:$P$980,Base!$I$3:$I$980,I22)/SUMIFS(Base!$L$3:$L$980,Base!$I$3:$I$980,I22),0)+ROW()/1000000)))</f>
        <v/>
      </c>
      <c r="R22" s="40" t="str">
        <f>IF(ISERROR(G22),"",IF(G22="","",IF(COUNTIF($G$3:G22,G22)&gt;1,"",IFERROR(SUMIFS(Base!$P$3:$P$980,Base!$G$3:$G$980,G22)/SUMIFS(Base!$L$3:$L$980,Base!$G$3:$G$980,G22),0)+ROW()/1000000)))</f>
        <v/>
      </c>
    </row>
    <row r="23" spans="2:18" ht="14.25" customHeight="1" x14ac:dyDescent="0.35">
      <c r="B23" s="35" t="str">
        <f t="shared" si="0"/>
        <v>201010000628Ara</v>
      </c>
      <c r="C23" s="35" t="s">
        <v>248</v>
      </c>
      <c r="D23" s="35" t="s">
        <v>237</v>
      </c>
      <c r="E23" s="36">
        <v>201010000628</v>
      </c>
      <c r="F23" s="36">
        <v>221000000425</v>
      </c>
      <c r="G23" s="35" t="s">
        <v>45</v>
      </c>
      <c r="H23" s="35" t="s">
        <v>265</v>
      </c>
      <c r="I23" s="35" t="s">
        <v>266</v>
      </c>
      <c r="J23" s="35" t="s">
        <v>12</v>
      </c>
      <c r="K23" s="37">
        <v>1627</v>
      </c>
      <c r="L23" s="38">
        <v>113.65784625485</v>
      </c>
      <c r="M23" s="38">
        <f t="shared" si="1"/>
        <v>14.314893811658628</v>
      </c>
      <c r="N23" s="36">
        <v>16.909981881074</v>
      </c>
      <c r="O23" s="39">
        <f t="shared" si="2"/>
        <v>14.314893811658628</v>
      </c>
      <c r="P23" s="37">
        <f t="shared" si="3"/>
        <v>1627</v>
      </c>
      <c r="Q23" s="40">
        <f>IF(ISERROR(I23),"",IF(I23="","",IF(COUNTIF($I$3:I23,I23)&gt;1,"",IFERROR(SUMIFS(Base!$P$3:$P$980,Base!$I$3:$I$980,I23)/SUMIFS(Base!$L$3:$L$980,Base!$I$3:$I$980,I23),0)+ROW()/1000000)))</f>
        <v>13.531265604453074</v>
      </c>
      <c r="R23" s="40">
        <f>IF(ISERROR(G23),"",IF(G23="","",IF(COUNTIF($G$3:G23,G23)&gt;1,"",IFERROR(SUMIFS(Base!$P$3:$P$980,Base!$G$3:$G$980,G23)/SUMIFS(Base!$L$3:$L$980,Base!$G$3:$G$980,G23),0)+ROW()/1000000)))</f>
        <v>10.341642034544918</v>
      </c>
    </row>
    <row r="24" spans="2:18" ht="14.25" customHeight="1" x14ac:dyDescent="0.35">
      <c r="B24" s="35" t="str">
        <f t="shared" si="0"/>
        <v>201010000628Jpe</v>
      </c>
      <c r="C24" s="35" t="s">
        <v>248</v>
      </c>
      <c r="D24" s="35" t="s">
        <v>237</v>
      </c>
      <c r="E24" s="36">
        <v>201010000628</v>
      </c>
      <c r="F24" s="36">
        <v>221000000425</v>
      </c>
      <c r="G24" s="35" t="s">
        <v>45</v>
      </c>
      <c r="H24" s="35" t="s">
        <v>265</v>
      </c>
      <c r="I24" s="35" t="s">
        <v>266</v>
      </c>
      <c r="J24" s="35" t="s">
        <v>13</v>
      </c>
      <c r="K24" s="37">
        <v>706</v>
      </c>
      <c r="L24" s="38">
        <v>58.757952367533697</v>
      </c>
      <c r="M24" s="38">
        <f t="shared" si="1"/>
        <v>12.015394879384793</v>
      </c>
      <c r="N24" s="36">
        <v>20</v>
      </c>
      <c r="O24" s="39">
        <f t="shared" si="2"/>
        <v>12.015394879384793</v>
      </c>
      <c r="P24" s="37">
        <f t="shared" si="3"/>
        <v>706</v>
      </c>
      <c r="Q24" s="40" t="str">
        <f>IF(ISERROR(I24),"",IF(I24="","",IF(COUNTIF($I$3:I24,I24)&gt;1,"",IFERROR(SUMIFS(Base!$P$3:$P$980,Base!$I$3:$I$980,I24)/SUMIFS(Base!$L$3:$L$980,Base!$I$3:$I$980,I24),0)+ROW()/1000000)))</f>
        <v/>
      </c>
      <c r="R24" s="40" t="str">
        <f>IF(ISERROR(G24),"",IF(G24="","",IF(COUNTIF($G$3:G24,G24)&gt;1,"",IFERROR(SUMIFS(Base!$P$3:$P$980,Base!$G$3:$G$980,G24)/SUMIFS(Base!$L$3:$L$980,Base!$G$3:$G$980,G24),0)+ROW()/1000000)))</f>
        <v/>
      </c>
    </row>
    <row r="25" spans="2:18" ht="14.25" customHeight="1" x14ac:dyDescent="0.35">
      <c r="B25" s="35" t="str">
        <f t="shared" si="0"/>
        <v>201030000119Ara</v>
      </c>
      <c r="C25" s="35" t="s">
        <v>248</v>
      </c>
      <c r="D25" s="35" t="s">
        <v>237</v>
      </c>
      <c r="E25" s="36">
        <v>201030000119</v>
      </c>
      <c r="F25" s="36">
        <v>201030000119</v>
      </c>
      <c r="G25" s="35" t="s">
        <v>65</v>
      </c>
      <c r="H25" s="35" t="s">
        <v>267</v>
      </c>
      <c r="I25" s="35" t="s">
        <v>268</v>
      </c>
      <c r="J25" s="35" t="s">
        <v>12</v>
      </c>
      <c r="K25" s="37">
        <v>1243</v>
      </c>
      <c r="L25" s="38">
        <v>4.5797150533054696</v>
      </c>
      <c r="M25" s="38">
        <f t="shared" si="1"/>
        <v>271.41426606942463</v>
      </c>
      <c r="N25" s="36">
        <v>18.3042973286876</v>
      </c>
      <c r="O25" s="39">
        <f t="shared" si="2"/>
        <v>18.3042973286876</v>
      </c>
      <c r="P25" s="37">
        <f t="shared" si="3"/>
        <v>83.828466016369703</v>
      </c>
      <c r="Q25" s="40">
        <f>IF(ISERROR(I25),"",IF(I25="","",IF(COUNTIF($I$3:I25,I25)&gt;1,"",IFERROR(SUMIFS(Base!$P$3:$P$980,Base!$I$3:$I$980,I25)/SUMIFS(Base!$L$3:$L$980,Base!$I$3:$I$980,I25),0)+ROW()/1000000)))</f>
        <v>12.515138506607858</v>
      </c>
      <c r="R25" s="40">
        <f>IF(ISERROR(G25),"",IF(G25="","",IF(COUNTIF($G$3:G25,G25)&gt;1,"",IFERROR(SUMIFS(Base!$P$3:$P$980,Base!$G$3:$G$980,G25)/SUMIFS(Base!$L$3:$L$980,Base!$G$3:$G$980,G25),0)+ROW()/1000000)))</f>
        <v>14.458796268386774</v>
      </c>
    </row>
    <row r="26" spans="2:18" ht="14.25" customHeight="1" x14ac:dyDescent="0.35">
      <c r="B26" s="35" t="str">
        <f t="shared" si="0"/>
        <v>201030000119Jpe</v>
      </c>
      <c r="C26" s="35" t="s">
        <v>248</v>
      </c>
      <c r="D26" s="35" t="s">
        <v>237</v>
      </c>
      <c r="E26" s="36">
        <v>201030000119</v>
      </c>
      <c r="F26" s="36">
        <v>201030000119</v>
      </c>
      <c r="G26" s="35" t="s">
        <v>65</v>
      </c>
      <c r="H26" s="35" t="s">
        <v>267</v>
      </c>
      <c r="I26" s="35" t="s">
        <v>268</v>
      </c>
      <c r="J26" s="35" t="s">
        <v>13</v>
      </c>
      <c r="K26" s="37">
        <v>127</v>
      </c>
      <c r="L26" s="38">
        <v>14.260417202875001</v>
      </c>
      <c r="M26" s="38">
        <f t="shared" si="1"/>
        <v>8.9057703006329927</v>
      </c>
      <c r="N26" s="36">
        <v>15</v>
      </c>
      <c r="O26" s="39">
        <f t="shared" si="2"/>
        <v>8.9057703006329927</v>
      </c>
      <c r="P26" s="37">
        <f t="shared" si="3"/>
        <v>127</v>
      </c>
      <c r="Q26" s="40" t="str">
        <f>IF(ISERROR(I26),"",IF(I26="","",IF(COUNTIF($I$3:I26,I26)&gt;1,"",IFERROR(SUMIFS(Base!$P$3:$P$980,Base!$I$3:$I$980,I26)/SUMIFS(Base!$L$3:$L$980,Base!$I$3:$I$980,I26),0)+ROW()/1000000)))</f>
        <v/>
      </c>
      <c r="R26" s="40" t="str">
        <f>IF(ISERROR(G26),"",IF(G26="","",IF(COUNTIF($G$3:G26,G26)&gt;1,"",IFERROR(SUMIFS(Base!$P$3:$P$980,Base!$G$3:$G$980,G26)/SUMIFS(Base!$L$3:$L$980,Base!$G$3:$G$980,G26),0)+ROW()/1000000)))</f>
        <v/>
      </c>
    </row>
    <row r="27" spans="2:18" ht="14.25" customHeight="1" x14ac:dyDescent="0.35">
      <c r="B27" s="35" t="str">
        <f t="shared" si="0"/>
        <v>201010000212Jpe</v>
      </c>
      <c r="C27" s="35" t="s">
        <v>248</v>
      </c>
      <c r="D27" s="35" t="s">
        <v>249</v>
      </c>
      <c r="E27" s="36">
        <v>201010000212</v>
      </c>
      <c r="F27" s="36">
        <v>201010000212</v>
      </c>
      <c r="G27" s="35" t="s">
        <v>115</v>
      </c>
      <c r="H27" s="35" t="s">
        <v>269</v>
      </c>
      <c r="I27" s="35" t="s">
        <v>270</v>
      </c>
      <c r="J27" s="35" t="s">
        <v>13</v>
      </c>
      <c r="K27" s="37">
        <v>1093</v>
      </c>
      <c r="L27" s="38">
        <v>63.282516122704003</v>
      </c>
      <c r="M27" s="38">
        <f t="shared" si="1"/>
        <v>17.271753194526696</v>
      </c>
      <c r="N27" s="36">
        <v>22</v>
      </c>
      <c r="O27" s="39">
        <f t="shared" si="2"/>
        <v>17.271753194526696</v>
      </c>
      <c r="P27" s="37">
        <f t="shared" si="3"/>
        <v>1093</v>
      </c>
      <c r="Q27" s="40">
        <f>IF(ISERROR(I27),"",IF(I27="","",IF(COUNTIF($I$3:I27,I27)&gt;1,"",IFERROR(SUMIFS(Base!$P$3:$P$980,Base!$I$3:$I$980,I27)/SUMIFS(Base!$L$3:$L$980,Base!$I$3:$I$980,I27),0)+ROW()/1000000)))</f>
        <v>17.620659221831968</v>
      </c>
      <c r="R27" s="40">
        <f>IF(ISERROR(G27),"",IF(G27="","",IF(COUNTIF($G$3:G27,G27)&gt;1,"",IFERROR(SUMIFS(Base!$P$3:$P$980,Base!$G$3:$G$980,G27)/SUMIFS(Base!$L$3:$L$980,Base!$G$3:$G$980,G27),0)+ROW()/1000000)))</f>
        <v>12.513633680805064</v>
      </c>
    </row>
    <row r="28" spans="2:18" ht="14.25" customHeight="1" x14ac:dyDescent="0.35">
      <c r="B28" s="35" t="str">
        <f t="shared" si="0"/>
        <v>201010000212Ara</v>
      </c>
      <c r="C28" s="35" t="s">
        <v>248</v>
      </c>
      <c r="D28" s="35" t="s">
        <v>249</v>
      </c>
      <c r="E28" s="36">
        <v>201010000212</v>
      </c>
      <c r="F28" s="36">
        <v>201010000212</v>
      </c>
      <c r="G28" s="35" t="s">
        <v>115</v>
      </c>
      <c r="H28" s="35" t="s">
        <v>269</v>
      </c>
      <c r="I28" s="35" t="s">
        <v>270</v>
      </c>
      <c r="J28" s="35" t="s">
        <v>12</v>
      </c>
      <c r="K28" s="37">
        <v>905</v>
      </c>
      <c r="L28" s="38">
        <v>46.756007253388901</v>
      </c>
      <c r="M28" s="38">
        <f t="shared" si="1"/>
        <v>19.355801599898271</v>
      </c>
      <c r="N28" s="36">
        <v>18.092827004219401</v>
      </c>
      <c r="O28" s="39">
        <f t="shared" si="2"/>
        <v>18.092827004219401</v>
      </c>
      <c r="P28" s="37">
        <f t="shared" si="3"/>
        <v>845.9483506435929</v>
      </c>
      <c r="Q28" s="40" t="str">
        <f>IF(ISERROR(I28),"",IF(I28="","",IF(COUNTIF($I$3:I28,I28)&gt;1,"",IFERROR(SUMIFS(Base!$P$3:$P$980,Base!$I$3:$I$980,I28)/SUMIFS(Base!$L$3:$L$980,Base!$I$3:$I$980,I28),0)+ROW()/1000000)))</f>
        <v/>
      </c>
      <c r="R28" s="40" t="str">
        <f>IF(ISERROR(G28),"",IF(G28="","",IF(COUNTIF($G$3:G28,G28)&gt;1,"",IFERROR(SUMIFS(Base!$P$3:$P$980,Base!$G$3:$G$980,G28)/SUMIFS(Base!$L$3:$L$980,Base!$G$3:$G$980,G28),0)+ROW()/1000000)))</f>
        <v/>
      </c>
    </row>
    <row r="29" spans="2:18" ht="14.25" customHeight="1" x14ac:dyDescent="0.35">
      <c r="B29" s="35" t="str">
        <f t="shared" si="0"/>
        <v>201010000417Ara</v>
      </c>
      <c r="C29" s="35" t="s">
        <v>248</v>
      </c>
      <c r="D29" s="35" t="s">
        <v>249</v>
      </c>
      <c r="E29" s="36">
        <v>201010000417</v>
      </c>
      <c r="F29" s="36">
        <v>201010000417</v>
      </c>
      <c r="G29" s="35" t="s">
        <v>50</v>
      </c>
      <c r="H29" s="35" t="s">
        <v>271</v>
      </c>
      <c r="I29" s="35" t="s">
        <v>272</v>
      </c>
      <c r="J29" s="35" t="s">
        <v>12</v>
      </c>
      <c r="K29" s="37">
        <v>1554</v>
      </c>
      <c r="L29" s="38">
        <v>45.805604695063401</v>
      </c>
      <c r="M29" s="38">
        <f t="shared" si="1"/>
        <v>33.925979371853572</v>
      </c>
      <c r="N29" s="36">
        <v>15.8001979129183</v>
      </c>
      <c r="O29" s="39">
        <f t="shared" si="2"/>
        <v>15.8001979129183</v>
      </c>
      <c r="P29" s="37">
        <f t="shared" si="3"/>
        <v>723.73761970290138</v>
      </c>
      <c r="Q29" s="40">
        <f>IF(ISERROR(I29),"",IF(I29="","",IF(COUNTIF($I$3:I29,I29)&gt;1,"",IFERROR(SUMIFS(Base!$P$3:$P$980,Base!$I$3:$I$980,I29)/SUMIFS(Base!$L$3:$L$980,Base!$I$3:$I$980,I29),0)+ROW()/1000000)))</f>
        <v>15.52273721759024</v>
      </c>
      <c r="R29" s="40" t="str">
        <f>IF(ISERROR(G29),"",IF(G29="","",IF(COUNTIF($G$3:G29,G29)&gt;1,"",IFERROR(SUMIFS(Base!$P$3:$P$980,Base!$G$3:$G$980,G29)/SUMIFS(Base!$L$3:$L$980,Base!$G$3:$G$980,G29),0)+ROW()/1000000)))</f>
        <v/>
      </c>
    </row>
    <row r="30" spans="2:18" ht="14.25" customHeight="1" x14ac:dyDescent="0.35">
      <c r="B30" s="35" t="str">
        <f t="shared" si="0"/>
        <v>201010000417Jpe</v>
      </c>
      <c r="C30" s="35" t="s">
        <v>248</v>
      </c>
      <c r="D30" s="35" t="s">
        <v>249</v>
      </c>
      <c r="E30" s="36">
        <v>201010000417</v>
      </c>
      <c r="F30" s="36">
        <v>201010000417</v>
      </c>
      <c r="G30" s="35" t="s">
        <v>50</v>
      </c>
      <c r="H30" s="35" t="s">
        <v>271</v>
      </c>
      <c r="I30" s="35" t="s">
        <v>272</v>
      </c>
      <c r="J30" s="35" t="s">
        <v>13</v>
      </c>
      <c r="K30" s="37">
        <v>365</v>
      </c>
      <c r="L30" s="38">
        <v>34.7545465874923</v>
      </c>
      <c r="M30" s="38">
        <f t="shared" si="1"/>
        <v>10.502223042419395</v>
      </c>
      <c r="N30" s="36">
        <v>14</v>
      </c>
      <c r="O30" s="39">
        <f t="shared" si="2"/>
        <v>10.502223042419395</v>
      </c>
      <c r="P30" s="37">
        <f t="shared" si="3"/>
        <v>365</v>
      </c>
      <c r="Q30" s="40" t="str">
        <f>IF(ISERROR(I30),"",IF(I30="","",IF(COUNTIF($I$3:I30,I30)&gt;1,"",IFERROR(SUMIFS(Base!$P$3:$P$980,Base!$I$3:$I$980,I30)/SUMIFS(Base!$L$3:$L$980,Base!$I$3:$I$980,I30),0)+ROW()/1000000)))</f>
        <v/>
      </c>
      <c r="R30" s="40" t="str">
        <f>IF(ISERROR(G30),"",IF(G30="","",IF(COUNTIF($G$3:G30,G30)&gt;1,"",IFERROR(SUMIFS(Base!$P$3:$P$980,Base!$G$3:$G$980,G30)/SUMIFS(Base!$L$3:$L$980,Base!$G$3:$G$980,G30),0)+ROW()/1000000)))</f>
        <v/>
      </c>
    </row>
    <row r="31" spans="2:18" ht="14.25" customHeight="1" x14ac:dyDescent="0.35">
      <c r="B31" s="35" t="str">
        <f t="shared" si="0"/>
        <v>201010000684Ara</v>
      </c>
      <c r="C31" s="35" t="s">
        <v>248</v>
      </c>
      <c r="D31" s="35" t="s">
        <v>237</v>
      </c>
      <c r="E31" s="36">
        <v>201010000684</v>
      </c>
      <c r="F31" s="36">
        <v>201010000684</v>
      </c>
      <c r="G31" s="35" t="s">
        <v>36</v>
      </c>
      <c r="H31" s="35" t="s">
        <v>273</v>
      </c>
      <c r="I31" s="35" t="s">
        <v>274</v>
      </c>
      <c r="J31" s="35" t="s">
        <v>12</v>
      </c>
      <c r="K31" s="37">
        <v>1076</v>
      </c>
      <c r="L31" s="38">
        <v>70.169300070344306</v>
      </c>
      <c r="M31" s="38">
        <f t="shared" si="1"/>
        <v>15.334341356138887</v>
      </c>
      <c r="N31" s="36">
        <v>17.149904551391501</v>
      </c>
      <c r="O31" s="39">
        <f t="shared" si="2"/>
        <v>15.334341356138887</v>
      </c>
      <c r="P31" s="37">
        <f t="shared" si="3"/>
        <v>1076</v>
      </c>
      <c r="Q31" s="40">
        <f>IF(ISERROR(I31),"",IF(I31="","",IF(COUNTIF($I$3:I31,I31)&gt;1,"",IFERROR(SUMIFS(Base!$P$3:$P$980,Base!$I$3:$I$980,I31)/SUMIFS(Base!$L$3:$L$980,Base!$I$3:$I$980,I31),0)+ROW()/1000000)))</f>
        <v>15.230745704165374</v>
      </c>
      <c r="R31" s="40" t="str">
        <f>IF(ISERROR(G31),"",IF(G31="","",IF(COUNTIF($G$3:G31,G31)&gt;1,"",IFERROR(SUMIFS(Base!$P$3:$P$980,Base!$G$3:$G$980,G31)/SUMIFS(Base!$L$3:$L$980,Base!$G$3:$G$980,G31),0)+ROW()/1000000)))</f>
        <v/>
      </c>
    </row>
    <row r="32" spans="2:18" ht="14.25" customHeight="1" x14ac:dyDescent="0.35">
      <c r="B32" s="35" t="str">
        <f t="shared" si="0"/>
        <v>201010000684Jpe</v>
      </c>
      <c r="C32" s="35" t="s">
        <v>248</v>
      </c>
      <c r="D32" s="35" t="s">
        <v>237</v>
      </c>
      <c r="E32" s="36">
        <v>201010000684</v>
      </c>
      <c r="F32" s="36">
        <v>201010000684</v>
      </c>
      <c r="G32" s="35" t="s">
        <v>36</v>
      </c>
      <c r="H32" s="35" t="s">
        <v>273</v>
      </c>
      <c r="I32" s="35" t="s">
        <v>274</v>
      </c>
      <c r="J32" s="35" t="s">
        <v>13</v>
      </c>
      <c r="K32" s="37">
        <v>504</v>
      </c>
      <c r="L32" s="38">
        <v>31.516888634903001</v>
      </c>
      <c r="M32" s="38">
        <f t="shared" si="1"/>
        <v>15.991426242559085</v>
      </c>
      <c r="N32" s="36">
        <v>15</v>
      </c>
      <c r="O32" s="39">
        <f t="shared" si="2"/>
        <v>15</v>
      </c>
      <c r="P32" s="37">
        <f t="shared" si="3"/>
        <v>472.75332952354501</v>
      </c>
      <c r="Q32" s="40" t="str">
        <f>IF(ISERROR(I32),"",IF(I32="","",IF(COUNTIF($I$3:I32,I32)&gt;1,"",IFERROR(SUMIFS(Base!$P$3:$P$980,Base!$I$3:$I$980,I32)/SUMIFS(Base!$L$3:$L$980,Base!$I$3:$I$980,I32),0)+ROW()/1000000)))</f>
        <v/>
      </c>
      <c r="R32" s="40" t="str">
        <f>IF(ISERROR(G32),"",IF(G32="","",IF(COUNTIF($G$3:G32,G32)&gt;1,"",IFERROR(SUMIFS(Base!$P$3:$P$980,Base!$G$3:$G$980,G32)/SUMIFS(Base!$L$3:$L$980,Base!$G$3:$G$980,G32),0)+ROW()/1000000)))</f>
        <v/>
      </c>
    </row>
    <row r="33" spans="2:18" ht="14.25" customHeight="1" x14ac:dyDescent="0.35">
      <c r="B33" s="35" t="str">
        <f t="shared" si="0"/>
        <v>201010000387Ara</v>
      </c>
      <c r="C33" s="35" t="s">
        <v>248</v>
      </c>
      <c r="D33" s="35" t="s">
        <v>237</v>
      </c>
      <c r="E33" s="36">
        <v>201010000387</v>
      </c>
      <c r="F33" s="36">
        <v>201010000387</v>
      </c>
      <c r="G33" s="35" t="s">
        <v>126</v>
      </c>
      <c r="H33" s="35" t="s">
        <v>275</v>
      </c>
      <c r="I33" s="35" t="s">
        <v>276</v>
      </c>
      <c r="J33" s="35" t="s">
        <v>12</v>
      </c>
      <c r="K33" s="37">
        <v>1069</v>
      </c>
      <c r="L33" s="38">
        <v>54.2165725810789</v>
      </c>
      <c r="M33" s="38">
        <f t="shared" si="1"/>
        <v>19.71721835424675</v>
      </c>
      <c r="N33" s="36">
        <v>18.036324531007299</v>
      </c>
      <c r="O33" s="39">
        <f t="shared" si="2"/>
        <v>18.036324531007299</v>
      </c>
      <c r="P33" s="37">
        <f t="shared" si="3"/>
        <v>977.86769803125105</v>
      </c>
      <c r="Q33" s="40">
        <f>IF(ISERROR(I33),"",IF(I33="","",IF(COUNTIF($I$3:I33,I33)&gt;1,"",IFERROR(SUMIFS(Base!$P$3:$P$980,Base!$I$3:$I$980,I33)/SUMIFS(Base!$L$3:$L$980,Base!$I$3:$I$980,I33),0)+ROW()/1000000)))</f>
        <v>16.071984124095994</v>
      </c>
      <c r="R33" s="40">
        <f>IF(ISERROR(G33),"",IF(G33="","",IF(COUNTIF($G$3:G33,G33)&gt;1,"",IFERROR(SUMIFS(Base!$P$3:$P$980,Base!$G$3:$G$980,G33)/SUMIFS(Base!$L$3:$L$980,Base!$G$3:$G$980,G33),0)+ROW()/1000000)))</f>
        <v>16.13049444360956</v>
      </c>
    </row>
    <row r="34" spans="2:18" ht="14.25" customHeight="1" x14ac:dyDescent="0.35">
      <c r="B34" s="35" t="str">
        <f t="shared" si="0"/>
        <v>201010000387Jpe</v>
      </c>
      <c r="C34" s="35" t="s">
        <v>248</v>
      </c>
      <c r="D34" s="35" t="s">
        <v>237</v>
      </c>
      <c r="E34" s="36">
        <v>201010000387</v>
      </c>
      <c r="F34" s="36">
        <v>201010000387</v>
      </c>
      <c r="G34" s="35" t="s">
        <v>126</v>
      </c>
      <c r="H34" s="35" t="s">
        <v>275</v>
      </c>
      <c r="I34" s="35" t="s">
        <v>276</v>
      </c>
      <c r="J34" s="35" t="s">
        <v>13</v>
      </c>
      <c r="K34" s="37">
        <v>381</v>
      </c>
      <c r="L34" s="38">
        <v>30.3324462368018</v>
      </c>
      <c r="M34" s="38">
        <f t="shared" si="1"/>
        <v>12.560806900491253</v>
      </c>
      <c r="N34" s="36">
        <v>14</v>
      </c>
      <c r="O34" s="39">
        <f t="shared" si="2"/>
        <v>12.560806900491253</v>
      </c>
      <c r="P34" s="37">
        <f t="shared" si="3"/>
        <v>381</v>
      </c>
      <c r="Q34" s="40" t="str">
        <f>IF(ISERROR(I34),"",IF(I34="","",IF(COUNTIF($I$3:I34,I34)&gt;1,"",IFERROR(SUMIFS(Base!$P$3:$P$980,Base!$I$3:$I$980,I34)/SUMIFS(Base!$L$3:$L$980,Base!$I$3:$I$980,I34),0)+ROW()/1000000)))</f>
        <v/>
      </c>
      <c r="R34" s="40" t="str">
        <f>IF(ISERROR(G34),"",IF(G34="","",IF(COUNTIF($G$3:G34,G34)&gt;1,"",IFERROR(SUMIFS(Base!$P$3:$P$980,Base!$G$3:$G$980,G34)/SUMIFS(Base!$L$3:$L$980,Base!$G$3:$G$980,G34),0)+ROW()/1000000)))</f>
        <v/>
      </c>
    </row>
    <row r="35" spans="2:18" ht="14.25" customHeight="1" x14ac:dyDescent="0.35">
      <c r="B35" s="35" t="str">
        <f t="shared" si="0"/>
        <v>201010000482Ara</v>
      </c>
      <c r="C35" s="35" t="s">
        <v>248</v>
      </c>
      <c r="D35" s="35" t="s">
        <v>237</v>
      </c>
      <c r="E35" s="36">
        <v>201010000482</v>
      </c>
      <c r="F35" s="36">
        <v>201010000482</v>
      </c>
      <c r="G35" s="35" t="s">
        <v>50</v>
      </c>
      <c r="H35" s="35" t="s">
        <v>277</v>
      </c>
      <c r="I35" s="35" t="s">
        <v>264</v>
      </c>
      <c r="J35" s="35" t="s">
        <v>12</v>
      </c>
      <c r="K35" s="37">
        <v>1552</v>
      </c>
      <c r="L35" s="38">
        <v>71.266770560772898</v>
      </c>
      <c r="M35" s="38">
        <f t="shared" si="1"/>
        <v>21.777330273111346</v>
      </c>
      <c r="N35" s="36">
        <v>17.9826773380112</v>
      </c>
      <c r="O35" s="39">
        <f t="shared" si="2"/>
        <v>17.9826773380112</v>
      </c>
      <c r="P35" s="37">
        <f t="shared" si="3"/>
        <v>1281.5673399164546</v>
      </c>
      <c r="Q35" s="40" t="str">
        <f>IF(ISERROR(I35),"",IF(I35="","",IF(COUNTIF($I$3:I35,I35)&gt;1,"",IFERROR(SUMIFS(Base!$P$3:$P$980,Base!$I$3:$I$980,I35)/SUMIFS(Base!$L$3:$L$980,Base!$I$3:$I$980,I35),0)+ROW()/1000000)))</f>
        <v/>
      </c>
      <c r="R35" s="40" t="str">
        <f>IF(ISERROR(G35),"",IF(G35="","",IF(COUNTIF($G$3:G35,G35)&gt;1,"",IFERROR(SUMIFS(Base!$P$3:$P$980,Base!$G$3:$G$980,G35)/SUMIFS(Base!$L$3:$L$980,Base!$G$3:$G$980,G35),0)+ROW()/1000000)))</f>
        <v/>
      </c>
    </row>
    <row r="36" spans="2:18" ht="14.25" customHeight="1" x14ac:dyDescent="0.35">
      <c r="B36" s="35" t="str">
        <f t="shared" si="0"/>
        <v>201010000482Jpe</v>
      </c>
      <c r="C36" s="35" t="s">
        <v>248</v>
      </c>
      <c r="D36" s="35" t="s">
        <v>237</v>
      </c>
      <c r="E36" s="36">
        <v>201010000482</v>
      </c>
      <c r="F36" s="36">
        <v>201010000482</v>
      </c>
      <c r="G36" s="35" t="s">
        <v>50</v>
      </c>
      <c r="H36" s="35" t="s">
        <v>277</v>
      </c>
      <c r="I36" s="35" t="s">
        <v>264</v>
      </c>
      <c r="J36" s="35" t="s">
        <v>13</v>
      </c>
      <c r="K36" s="37">
        <v>695</v>
      </c>
      <c r="L36" s="38">
        <v>36.2973037292588</v>
      </c>
      <c r="M36" s="38">
        <f t="shared" si="1"/>
        <v>19.147427731381857</v>
      </c>
      <c r="N36" s="36">
        <v>19</v>
      </c>
      <c r="O36" s="39">
        <f t="shared" si="2"/>
        <v>19</v>
      </c>
      <c r="P36" s="37">
        <f t="shared" si="3"/>
        <v>689.64877085591718</v>
      </c>
      <c r="Q36" s="40" t="str">
        <f>IF(ISERROR(I36),"",IF(I36="","",IF(COUNTIF($I$3:I36,I36)&gt;1,"",IFERROR(SUMIFS(Base!$P$3:$P$980,Base!$I$3:$I$980,I36)/SUMIFS(Base!$L$3:$L$980,Base!$I$3:$I$980,I36),0)+ROW()/1000000)))</f>
        <v/>
      </c>
      <c r="R36" s="40" t="str">
        <f>IF(ISERROR(G36),"",IF(G36="","",IF(COUNTIF($G$3:G36,G36)&gt;1,"",IFERROR(SUMIFS(Base!$P$3:$P$980,Base!$G$3:$G$980,G36)/SUMIFS(Base!$L$3:$L$980,Base!$G$3:$G$980,G36),0)+ROW()/1000000)))</f>
        <v/>
      </c>
    </row>
    <row r="37" spans="2:18" ht="14.25" customHeight="1" x14ac:dyDescent="0.35">
      <c r="B37" s="35" t="str">
        <f t="shared" si="0"/>
        <v>201010000368Ara</v>
      </c>
      <c r="C37" s="35" t="s">
        <v>248</v>
      </c>
      <c r="D37" s="35" t="s">
        <v>237</v>
      </c>
      <c r="E37" s="36">
        <v>201010000368</v>
      </c>
      <c r="F37" s="36">
        <v>201010000368</v>
      </c>
      <c r="G37" s="35" t="s">
        <v>31</v>
      </c>
      <c r="H37" s="35" t="s">
        <v>278</v>
      </c>
      <c r="I37" s="35" t="s">
        <v>253</v>
      </c>
      <c r="J37" s="35" t="s">
        <v>12</v>
      </c>
      <c r="K37" s="37">
        <v>760</v>
      </c>
      <c r="L37" s="38">
        <v>32.393655916569998</v>
      </c>
      <c r="M37" s="38">
        <f t="shared" si="1"/>
        <v>23.461383980782635</v>
      </c>
      <c r="N37" s="36">
        <v>10</v>
      </c>
      <c r="O37" s="39">
        <f t="shared" si="2"/>
        <v>10</v>
      </c>
      <c r="P37" s="37">
        <f t="shared" si="3"/>
        <v>323.93655916569998</v>
      </c>
      <c r="Q37" s="40" t="str">
        <f>IF(ISERROR(I37),"",IF(I37="","",IF(COUNTIF($I$3:I37,I37)&gt;1,"",IFERROR(SUMIFS(Base!$P$3:$P$980,Base!$I$3:$I$980,I37)/SUMIFS(Base!$L$3:$L$980,Base!$I$3:$I$980,I37),0)+ROW()/1000000)))</f>
        <v/>
      </c>
      <c r="R37" s="40" t="str">
        <f>IF(ISERROR(G37),"",IF(G37="","",IF(COUNTIF($G$3:G37,G37)&gt;1,"",IFERROR(SUMIFS(Base!$P$3:$P$980,Base!$G$3:$G$980,G37)/SUMIFS(Base!$L$3:$L$980,Base!$G$3:$G$980,G37),0)+ROW()/1000000)))</f>
        <v/>
      </c>
    </row>
    <row r="38" spans="2:18" ht="14.25" customHeight="1" x14ac:dyDescent="0.35">
      <c r="B38" s="35" t="str">
        <f t="shared" si="0"/>
        <v>201010000368Jpe</v>
      </c>
      <c r="C38" s="35" t="s">
        <v>248</v>
      </c>
      <c r="D38" s="35" t="s">
        <v>237</v>
      </c>
      <c r="E38" s="36">
        <v>201010000368</v>
      </c>
      <c r="F38" s="36">
        <v>201010000368</v>
      </c>
      <c r="G38" s="35" t="s">
        <v>31</v>
      </c>
      <c r="H38" s="35" t="s">
        <v>278</v>
      </c>
      <c r="I38" s="35" t="s">
        <v>253</v>
      </c>
      <c r="J38" s="35" t="s">
        <v>13</v>
      </c>
      <c r="K38" s="37">
        <v>119</v>
      </c>
      <c r="L38" s="38">
        <v>19.032023747042299</v>
      </c>
      <c r="M38" s="38">
        <f t="shared" si="1"/>
        <v>6.2526193526052838</v>
      </c>
      <c r="N38" s="36">
        <v>10</v>
      </c>
      <c r="O38" s="39">
        <f t="shared" si="2"/>
        <v>6.2526193526052838</v>
      </c>
      <c r="P38" s="37">
        <f t="shared" si="3"/>
        <v>119</v>
      </c>
      <c r="Q38" s="40" t="str">
        <f>IF(ISERROR(I38),"",IF(I38="","",IF(COUNTIF($I$3:I38,I38)&gt;1,"",IFERROR(SUMIFS(Base!$P$3:$P$980,Base!$I$3:$I$980,I38)/SUMIFS(Base!$L$3:$L$980,Base!$I$3:$I$980,I38),0)+ROW()/1000000)))</f>
        <v/>
      </c>
      <c r="R38" s="40" t="str">
        <f>IF(ISERROR(G38),"",IF(G38="","",IF(COUNTIF($G$3:G38,G38)&gt;1,"",IFERROR(SUMIFS(Base!$P$3:$P$980,Base!$G$3:$G$980,G38)/SUMIFS(Base!$L$3:$L$980,Base!$G$3:$G$980,G38),0)+ROW()/1000000)))</f>
        <v/>
      </c>
    </row>
    <row r="39" spans="2:18" ht="14.25" customHeight="1" x14ac:dyDescent="0.35">
      <c r="B39" s="35" t="str">
        <f t="shared" si="0"/>
        <v>201030000468Ara</v>
      </c>
      <c r="C39" s="35" t="s">
        <v>248</v>
      </c>
      <c r="D39" s="35" t="s">
        <v>237</v>
      </c>
      <c r="E39" s="36">
        <v>201030000468</v>
      </c>
      <c r="F39" s="36">
        <v>201030000468</v>
      </c>
      <c r="G39" s="35" t="s">
        <v>65</v>
      </c>
      <c r="H39" s="35" t="s">
        <v>279</v>
      </c>
      <c r="I39" s="35" t="s">
        <v>280</v>
      </c>
      <c r="J39" s="35" t="s">
        <v>12</v>
      </c>
      <c r="K39" s="37">
        <v>1099</v>
      </c>
      <c r="L39" s="38">
        <v>5.7898059444979504</v>
      </c>
      <c r="M39" s="38">
        <f t="shared" si="1"/>
        <v>189.81637908682919</v>
      </c>
      <c r="N39" s="36">
        <v>23</v>
      </c>
      <c r="O39" s="39">
        <f t="shared" si="2"/>
        <v>23</v>
      </c>
      <c r="P39" s="37">
        <f t="shared" si="3"/>
        <v>133.16553672345285</v>
      </c>
      <c r="Q39" s="40">
        <f>IF(ISERROR(I39),"",IF(I39="","",IF(COUNTIF($I$3:I39,I39)&gt;1,"",IFERROR(SUMIFS(Base!$P$3:$P$980,Base!$I$3:$I$980,I39)/SUMIFS(Base!$L$3:$L$980,Base!$I$3:$I$980,I39),0)+ROW()/1000000)))</f>
        <v>26.952870185294739</v>
      </c>
      <c r="R39" s="40" t="str">
        <f>IF(ISERROR(G39),"",IF(G39="","",IF(COUNTIF($G$3:G39,G39)&gt;1,"",IFERROR(SUMIFS(Base!$P$3:$P$980,Base!$G$3:$G$980,G39)/SUMIFS(Base!$L$3:$L$980,Base!$G$3:$G$980,G39),0)+ROW()/1000000)))</f>
        <v/>
      </c>
    </row>
    <row r="40" spans="2:18" ht="14.25" customHeight="1" x14ac:dyDescent="0.35">
      <c r="B40" s="35" t="str">
        <f t="shared" si="0"/>
        <v>201030000468Jpe</v>
      </c>
      <c r="C40" s="35" t="s">
        <v>248</v>
      </c>
      <c r="D40" s="35" t="s">
        <v>237</v>
      </c>
      <c r="E40" s="36">
        <v>201030000468</v>
      </c>
      <c r="F40" s="36">
        <v>201030000468</v>
      </c>
      <c r="G40" s="35" t="s">
        <v>65</v>
      </c>
      <c r="H40" s="35" t="s">
        <v>279</v>
      </c>
      <c r="I40" s="35" t="s">
        <v>280</v>
      </c>
      <c r="J40" s="35" t="s">
        <v>13</v>
      </c>
      <c r="K40" s="37">
        <v>954</v>
      </c>
      <c r="L40" s="38">
        <v>2.0716733742451598</v>
      </c>
      <c r="M40" s="38">
        <f t="shared" si="1"/>
        <v>460.49730225818143</v>
      </c>
      <c r="N40" s="36">
        <v>38</v>
      </c>
      <c r="O40" s="39">
        <f t="shared" si="2"/>
        <v>38</v>
      </c>
      <c r="P40" s="37">
        <f t="shared" si="3"/>
        <v>78.723588221316078</v>
      </c>
      <c r="Q40" s="40" t="str">
        <f>IF(ISERROR(I40),"",IF(I40="","",IF(COUNTIF($I$3:I40,I40)&gt;1,"",IFERROR(SUMIFS(Base!$P$3:$P$980,Base!$I$3:$I$980,I40)/SUMIFS(Base!$L$3:$L$980,Base!$I$3:$I$980,I40),0)+ROW()/1000000)))</f>
        <v/>
      </c>
      <c r="R40" s="40" t="str">
        <f>IF(ISERROR(G40),"",IF(G40="","",IF(COUNTIF($G$3:G40,G40)&gt;1,"",IFERROR(SUMIFS(Base!$P$3:$P$980,Base!$G$3:$G$980,G40)/SUMIFS(Base!$L$3:$L$980,Base!$G$3:$G$980,G40),0)+ROW()/1000000)))</f>
        <v/>
      </c>
    </row>
    <row r="41" spans="2:18" ht="14.25" customHeight="1" x14ac:dyDescent="0.35">
      <c r="B41" s="35" t="str">
        <f t="shared" si="0"/>
        <v>201010000577Ara</v>
      </c>
      <c r="C41" s="35" t="s">
        <v>248</v>
      </c>
      <c r="D41" s="35" t="s">
        <v>249</v>
      </c>
      <c r="E41" s="36">
        <v>201010000577</v>
      </c>
      <c r="F41" s="36">
        <v>201010000577</v>
      </c>
      <c r="G41" s="35" t="s">
        <v>115</v>
      </c>
      <c r="H41" s="35" t="s">
        <v>281</v>
      </c>
      <c r="I41" s="35" t="s">
        <v>282</v>
      </c>
      <c r="J41" s="35" t="s">
        <v>12</v>
      </c>
      <c r="K41" s="37">
        <v>240</v>
      </c>
      <c r="L41" s="38">
        <v>30.754929823689199</v>
      </c>
      <c r="M41" s="38">
        <f t="shared" si="1"/>
        <v>7.8036269754430823</v>
      </c>
      <c r="N41" s="36">
        <v>22.725583864118899</v>
      </c>
      <c r="O41" s="39">
        <f t="shared" si="2"/>
        <v>7.8036269754430823</v>
      </c>
      <c r="P41" s="37">
        <f t="shared" si="3"/>
        <v>240</v>
      </c>
      <c r="Q41" s="40">
        <f>IF(ISERROR(I41),"",IF(I41="","",IF(COUNTIF($I$3:I41,I41)&gt;1,"",IFERROR(SUMIFS(Base!$P$3:$P$980,Base!$I$3:$I$980,I41)/SUMIFS(Base!$L$3:$L$980,Base!$I$3:$I$980,I41),0)+ROW()/1000000)))</f>
        <v>11.905824840557017</v>
      </c>
      <c r="R41" s="40" t="str">
        <f>IF(ISERROR(G41),"",IF(G41="","",IF(COUNTIF($G$3:G41,G41)&gt;1,"",IFERROR(SUMIFS(Base!$P$3:$P$980,Base!$G$3:$G$980,G41)/SUMIFS(Base!$L$3:$L$980,Base!$G$3:$G$980,G41),0)+ROW()/1000000)))</f>
        <v/>
      </c>
    </row>
    <row r="42" spans="2:18" ht="14.25" customHeight="1" x14ac:dyDescent="0.35">
      <c r="B42" s="35" t="str">
        <f t="shared" si="0"/>
        <v>201010000577Jpe</v>
      </c>
      <c r="C42" s="35" t="s">
        <v>248</v>
      </c>
      <c r="D42" s="35" t="s">
        <v>249</v>
      </c>
      <c r="E42" s="36">
        <v>201010000577</v>
      </c>
      <c r="F42" s="36">
        <v>201010000577</v>
      </c>
      <c r="G42" s="35" t="s">
        <v>115</v>
      </c>
      <c r="H42" s="35" t="s">
        <v>281</v>
      </c>
      <c r="I42" s="35" t="s">
        <v>282</v>
      </c>
      <c r="J42" s="35" t="s">
        <v>13</v>
      </c>
      <c r="K42" s="37">
        <v>493</v>
      </c>
      <c r="L42" s="38">
        <v>30.811785129007799</v>
      </c>
      <c r="M42" s="38">
        <f t="shared" si="1"/>
        <v>16.000371219513163</v>
      </c>
      <c r="N42" s="36">
        <v>17</v>
      </c>
      <c r="O42" s="39">
        <f t="shared" si="2"/>
        <v>16.000371219513163</v>
      </c>
      <c r="P42" s="37">
        <f t="shared" si="3"/>
        <v>493.00000000000006</v>
      </c>
      <c r="Q42" s="40" t="str">
        <f>IF(ISERROR(I42),"",IF(I42="","",IF(COUNTIF($I$3:I42,I42)&gt;1,"",IFERROR(SUMIFS(Base!$P$3:$P$980,Base!$I$3:$I$980,I42)/SUMIFS(Base!$L$3:$L$980,Base!$I$3:$I$980,I42),0)+ROW()/1000000)))</f>
        <v/>
      </c>
      <c r="R42" s="40" t="str">
        <f>IF(ISERROR(G42),"",IF(G42="","",IF(COUNTIF($G$3:G42,G42)&gt;1,"",IFERROR(SUMIFS(Base!$P$3:$P$980,Base!$G$3:$G$980,G42)/SUMIFS(Base!$L$3:$L$980,Base!$G$3:$G$980,G42),0)+ROW()/1000000)))</f>
        <v/>
      </c>
    </row>
    <row r="43" spans="2:18" ht="14.25" customHeight="1" x14ac:dyDescent="0.35">
      <c r="B43" s="35" t="str">
        <f t="shared" si="0"/>
        <v>201010000322Ara</v>
      </c>
      <c r="C43" s="35" t="s">
        <v>248</v>
      </c>
      <c r="D43" s="35" t="s">
        <v>237</v>
      </c>
      <c r="E43" s="36">
        <v>201010000322</v>
      </c>
      <c r="F43" s="36">
        <v>201010000322</v>
      </c>
      <c r="G43" s="35" t="s">
        <v>50</v>
      </c>
      <c r="H43" s="35" t="s">
        <v>283</v>
      </c>
      <c r="I43" s="35" t="s">
        <v>284</v>
      </c>
      <c r="J43" s="35" t="s">
        <v>12</v>
      </c>
      <c r="K43" s="37">
        <v>764</v>
      </c>
      <c r="L43" s="38">
        <v>46.298885630452297</v>
      </c>
      <c r="M43" s="38">
        <f t="shared" si="1"/>
        <v>16.501477078694354</v>
      </c>
      <c r="N43" s="36">
        <v>25</v>
      </c>
      <c r="O43" s="39">
        <f t="shared" si="2"/>
        <v>16.501477078694354</v>
      </c>
      <c r="P43" s="37">
        <f t="shared" si="3"/>
        <v>764</v>
      </c>
      <c r="Q43" s="40">
        <f>IF(ISERROR(I43),"",IF(I43="","",IF(COUNTIF($I$3:I43,I43)&gt;1,"",IFERROR(SUMIFS(Base!$P$3:$P$980,Base!$I$3:$I$980,I43)/SUMIFS(Base!$L$3:$L$980,Base!$I$3:$I$980,I43),0)+ROW()/1000000)))</f>
        <v>16.114103805658868</v>
      </c>
      <c r="R43" s="40" t="str">
        <f>IF(ISERROR(G43),"",IF(G43="","",IF(COUNTIF($G$3:G43,G43)&gt;1,"",IFERROR(SUMIFS(Base!$P$3:$P$980,Base!$G$3:$G$980,G43)/SUMIFS(Base!$L$3:$L$980,Base!$G$3:$G$980,G43),0)+ROW()/1000000)))</f>
        <v/>
      </c>
    </row>
    <row r="44" spans="2:18" ht="14.25" customHeight="1" x14ac:dyDescent="0.35">
      <c r="B44" s="35" t="str">
        <f t="shared" si="0"/>
        <v>201010000322Jpe</v>
      </c>
      <c r="C44" s="35" t="s">
        <v>248</v>
      </c>
      <c r="D44" s="35" t="s">
        <v>237</v>
      </c>
      <c r="E44" s="36">
        <v>201010000322</v>
      </c>
      <c r="F44" s="36">
        <v>201010000322</v>
      </c>
      <c r="G44" s="35" t="s">
        <v>50</v>
      </c>
      <c r="H44" s="35" t="s">
        <v>283</v>
      </c>
      <c r="I44" s="35" t="s">
        <v>284</v>
      </c>
      <c r="J44" s="35" t="s">
        <v>13</v>
      </c>
      <c r="K44" s="37">
        <v>569</v>
      </c>
      <c r="L44" s="38">
        <v>36.4812609970311</v>
      </c>
      <c r="M44" s="38">
        <f t="shared" si="1"/>
        <v>15.597048579167975</v>
      </c>
      <c r="N44" s="36">
        <v>22</v>
      </c>
      <c r="O44" s="39">
        <f t="shared" si="2"/>
        <v>15.597048579167975</v>
      </c>
      <c r="P44" s="37">
        <f t="shared" si="3"/>
        <v>569</v>
      </c>
      <c r="Q44" s="40" t="str">
        <f>IF(ISERROR(I44),"",IF(I44="","",IF(COUNTIF($I$3:I44,I44)&gt;1,"",IFERROR(SUMIFS(Base!$P$3:$P$980,Base!$I$3:$I$980,I44)/SUMIFS(Base!$L$3:$L$980,Base!$I$3:$I$980,I44),0)+ROW()/1000000)))</f>
        <v/>
      </c>
      <c r="R44" s="40" t="str">
        <f>IF(ISERROR(G44),"",IF(G44="","",IF(COUNTIF($G$3:G44,G44)&gt;1,"",IFERROR(SUMIFS(Base!$P$3:$P$980,Base!$G$3:$G$980,G44)/SUMIFS(Base!$L$3:$L$980,Base!$G$3:$G$980,G44),0)+ROW()/1000000)))</f>
        <v/>
      </c>
    </row>
    <row r="45" spans="2:18" ht="14.25" customHeight="1" x14ac:dyDescent="0.35">
      <c r="B45" s="35" t="str">
        <f t="shared" si="0"/>
        <v>201010000653Ara</v>
      </c>
      <c r="C45" s="35" t="s">
        <v>248</v>
      </c>
      <c r="D45" s="35" t="s">
        <v>237</v>
      </c>
      <c r="E45" s="36">
        <v>201010000653</v>
      </c>
      <c r="F45" s="36">
        <v>201010000653</v>
      </c>
      <c r="G45" s="35" t="s">
        <v>132</v>
      </c>
      <c r="H45" s="35" t="s">
        <v>285</v>
      </c>
      <c r="I45" s="35" t="s">
        <v>286</v>
      </c>
      <c r="J45" s="35" t="s">
        <v>12</v>
      </c>
      <c r="K45" s="37">
        <v>483</v>
      </c>
      <c r="L45" s="38">
        <v>40.417231811602903</v>
      </c>
      <c r="M45" s="38">
        <f t="shared" si="1"/>
        <v>11.950348362584824</v>
      </c>
      <c r="N45" s="36">
        <v>17.537622272385299</v>
      </c>
      <c r="O45" s="39">
        <f t="shared" si="2"/>
        <v>11.950348362584824</v>
      </c>
      <c r="P45" s="37">
        <f t="shared" si="3"/>
        <v>483.00000000000006</v>
      </c>
      <c r="Q45" s="40">
        <f>IF(ISERROR(I45),"",IF(I45="","",IF(COUNTIF($I$3:I45,I45)&gt;1,"",IFERROR(SUMIFS(Base!$P$3:$P$980,Base!$I$3:$I$980,I45)/SUMIFS(Base!$L$3:$L$980,Base!$I$3:$I$980,I45),0)+ROW()/1000000)))</f>
        <v>14.610638825856634</v>
      </c>
      <c r="R45" s="40">
        <f>IF(ISERROR(G45),"",IF(G45="","",IF(COUNTIF($G$3:G45,G45)&gt;1,"",IFERROR(SUMIFS(Base!$P$3:$P$980,Base!$G$3:$G$980,G45)/SUMIFS(Base!$L$3:$L$980,Base!$G$3:$G$980,G45),0)+ROW()/1000000)))</f>
        <v>14.610638825856634</v>
      </c>
    </row>
    <row r="46" spans="2:18" ht="14.25" customHeight="1" x14ac:dyDescent="0.35">
      <c r="B46" s="35" t="str">
        <f t="shared" si="0"/>
        <v>201010000653Jpe</v>
      </c>
      <c r="C46" s="35" t="s">
        <v>248</v>
      </c>
      <c r="D46" s="35" t="s">
        <v>237</v>
      </c>
      <c r="E46" s="36">
        <v>201010000653</v>
      </c>
      <c r="F46" s="36">
        <v>201010000653</v>
      </c>
      <c r="G46" s="35" t="s">
        <v>132</v>
      </c>
      <c r="H46" s="35" t="s">
        <v>285</v>
      </c>
      <c r="I46" s="35" t="s">
        <v>286</v>
      </c>
      <c r="J46" s="35" t="s">
        <v>13</v>
      </c>
      <c r="K46" s="37">
        <v>840</v>
      </c>
      <c r="L46" s="38">
        <v>17.588387534940601</v>
      </c>
      <c r="M46" s="38">
        <f t="shared" si="1"/>
        <v>47.758783932368978</v>
      </c>
      <c r="N46" s="36">
        <v>15</v>
      </c>
      <c r="O46" s="39">
        <f t="shared" si="2"/>
        <v>15</v>
      </c>
      <c r="P46" s="37">
        <f t="shared" si="3"/>
        <v>263.82581302410904</v>
      </c>
      <c r="Q46" s="40" t="str">
        <f>IF(ISERROR(I46),"",IF(I46="","",IF(COUNTIF($I$3:I46,I46)&gt;1,"",IFERROR(SUMIFS(Base!$P$3:$P$980,Base!$I$3:$I$980,I46)/SUMIFS(Base!$L$3:$L$980,Base!$I$3:$I$980,I46),0)+ROW()/1000000)))</f>
        <v/>
      </c>
      <c r="R46" s="40" t="str">
        <f>IF(ISERROR(G46),"",IF(G46="","",IF(COUNTIF($G$3:G46,G46)&gt;1,"",IFERROR(SUMIFS(Base!$P$3:$P$980,Base!$G$3:$G$980,G46)/SUMIFS(Base!$L$3:$L$980,Base!$G$3:$G$980,G46),0)+ROW()/1000000)))</f>
        <v/>
      </c>
    </row>
    <row r="47" spans="2:18" ht="14.25" customHeight="1" x14ac:dyDescent="0.35">
      <c r="B47" s="35" t="str">
        <f t="shared" si="0"/>
        <v>201010000527Jpe</v>
      </c>
      <c r="C47" s="35" t="s">
        <v>248</v>
      </c>
      <c r="D47" s="35" t="s">
        <v>237</v>
      </c>
      <c r="E47" s="36">
        <v>201010000527</v>
      </c>
      <c r="F47" s="36">
        <v>201010000527</v>
      </c>
      <c r="G47" s="35" t="s">
        <v>45</v>
      </c>
      <c r="H47" s="35" t="s">
        <v>287</v>
      </c>
      <c r="I47" s="35" t="s">
        <v>288</v>
      </c>
      <c r="J47" s="35" t="s">
        <v>13</v>
      </c>
      <c r="K47" s="37">
        <v>641</v>
      </c>
      <c r="L47" s="38">
        <v>30.9023603003373</v>
      </c>
      <c r="M47" s="38">
        <f t="shared" si="1"/>
        <v>20.742752131881765</v>
      </c>
      <c r="N47" s="36">
        <v>13.5</v>
      </c>
      <c r="O47" s="39">
        <f t="shared" si="2"/>
        <v>13.5</v>
      </c>
      <c r="P47" s="37">
        <f t="shared" si="3"/>
        <v>417.18186405455356</v>
      </c>
      <c r="Q47" s="40">
        <f>IF(ISERROR(I47),"",IF(I47="","",IF(COUNTIF($I$3:I47,I47)&gt;1,"",IFERROR(SUMIFS(Base!$P$3:$P$980,Base!$I$3:$I$980,I47)/SUMIFS(Base!$L$3:$L$980,Base!$I$3:$I$980,I47),0)+ROW()/1000000)))</f>
        <v>7.9816800899905926</v>
      </c>
      <c r="R47" s="40" t="str">
        <f>IF(ISERROR(G47),"",IF(G47="","",IF(COUNTIF($G$3:G47,G47)&gt;1,"",IFERROR(SUMIFS(Base!$P$3:$P$980,Base!$G$3:$G$980,G47)/SUMIFS(Base!$L$3:$L$980,Base!$G$3:$G$980,G47),0)+ROW()/1000000)))</f>
        <v/>
      </c>
    </row>
    <row r="48" spans="2:18" ht="14.25" customHeight="1" x14ac:dyDescent="0.35">
      <c r="B48" s="35" t="str">
        <f t="shared" si="0"/>
        <v>201010000527Ara</v>
      </c>
      <c r="C48" s="35" t="s">
        <v>248</v>
      </c>
      <c r="D48" s="35" t="s">
        <v>237</v>
      </c>
      <c r="E48" s="36">
        <v>201010000527</v>
      </c>
      <c r="F48" s="36">
        <v>201010000527</v>
      </c>
      <c r="G48" s="35" t="s">
        <v>45</v>
      </c>
      <c r="H48" s="35" t="s">
        <v>287</v>
      </c>
      <c r="I48" s="35" t="s">
        <v>288</v>
      </c>
      <c r="J48" s="35" t="s">
        <v>12</v>
      </c>
      <c r="K48" s="37">
        <v>195</v>
      </c>
      <c r="L48" s="38">
        <v>28.0052640221807</v>
      </c>
      <c r="M48" s="38">
        <f t="shared" si="1"/>
        <v>6.9629766691560668</v>
      </c>
      <c r="N48" s="36">
        <v>18.887308533916901</v>
      </c>
      <c r="O48" s="39">
        <f t="shared" si="2"/>
        <v>6.9629766691560668</v>
      </c>
      <c r="P48" s="37">
        <f t="shared" si="3"/>
        <v>195</v>
      </c>
      <c r="Q48" s="40" t="str">
        <f>IF(ISERROR(I48),"",IF(I48="","",IF(COUNTIF($I$3:I48,I48)&gt;1,"",IFERROR(SUMIFS(Base!$P$3:$P$980,Base!$I$3:$I$980,I48)/SUMIFS(Base!$L$3:$L$980,Base!$I$3:$I$980,I48),0)+ROW()/1000000)))</f>
        <v/>
      </c>
      <c r="R48" s="40" t="str">
        <f>IF(ISERROR(G48),"",IF(G48="","",IF(COUNTIF($G$3:G48,G48)&gt;1,"",IFERROR(SUMIFS(Base!$P$3:$P$980,Base!$G$3:$G$980,G48)/SUMIFS(Base!$L$3:$L$980,Base!$G$3:$G$980,G48),0)+ROW()/1000000)))</f>
        <v/>
      </c>
    </row>
    <row r="49" spans="2:18" ht="14.25" customHeight="1" x14ac:dyDescent="0.35">
      <c r="B49" s="35" t="str">
        <f t="shared" si="0"/>
        <v>201030000215Ara</v>
      </c>
      <c r="C49" s="35" t="s">
        <v>248</v>
      </c>
      <c r="D49" s="35" t="s">
        <v>237</v>
      </c>
      <c r="E49" s="36">
        <v>201030000215</v>
      </c>
      <c r="F49" s="36">
        <v>201030000215</v>
      </c>
      <c r="G49" s="35" t="s">
        <v>65</v>
      </c>
      <c r="H49" s="35" t="s">
        <v>289</v>
      </c>
      <c r="I49" s="35" t="s">
        <v>290</v>
      </c>
      <c r="J49" s="35" t="s">
        <v>12</v>
      </c>
      <c r="K49" s="37">
        <v>448</v>
      </c>
      <c r="L49" s="38">
        <v>21.2570695564517</v>
      </c>
      <c r="M49" s="38">
        <f t="shared" si="1"/>
        <v>21.075341490992496</v>
      </c>
      <c r="N49" s="36">
        <v>21.7457142857143</v>
      </c>
      <c r="O49" s="39">
        <f t="shared" si="2"/>
        <v>21.075341490992496</v>
      </c>
      <c r="P49" s="37">
        <f t="shared" si="3"/>
        <v>448</v>
      </c>
      <c r="Q49" s="40">
        <f>IF(ISERROR(I49),"",IF(I49="","",IF(COUNTIF($I$3:I49,I49)&gt;1,"",IFERROR(SUMIFS(Base!$P$3:$P$980,Base!$I$3:$I$980,I49)/SUMIFS(Base!$L$3:$L$980,Base!$I$3:$I$980,I49),0)+ROW()/1000000)))</f>
        <v>13.164567620040385</v>
      </c>
      <c r="R49" s="40" t="str">
        <f>IF(ISERROR(G49),"",IF(G49="","",IF(COUNTIF($G$3:G49,G49)&gt;1,"",IFERROR(SUMIFS(Base!$P$3:$P$980,Base!$G$3:$G$980,G49)/SUMIFS(Base!$L$3:$L$980,Base!$G$3:$G$980,G49),0)+ROW()/1000000)))</f>
        <v/>
      </c>
    </row>
    <row r="50" spans="2:18" ht="14.25" customHeight="1" x14ac:dyDescent="0.35">
      <c r="B50" s="35" t="str">
        <f t="shared" si="0"/>
        <v>201030000215Jpe</v>
      </c>
      <c r="C50" s="35" t="s">
        <v>248</v>
      </c>
      <c r="D50" s="35" t="s">
        <v>237</v>
      </c>
      <c r="E50" s="36">
        <v>201030000215</v>
      </c>
      <c r="F50" s="36">
        <v>201030000215</v>
      </c>
      <c r="G50" s="35" t="s">
        <v>65</v>
      </c>
      <c r="H50" s="35" t="s">
        <v>289</v>
      </c>
      <c r="I50" s="35" t="s">
        <v>290</v>
      </c>
      <c r="J50" s="35" t="s">
        <v>13</v>
      </c>
      <c r="K50" s="37">
        <v>160</v>
      </c>
      <c r="L50" s="38">
        <v>11.6457502016129</v>
      </c>
      <c r="M50" s="38">
        <f t="shared" si="1"/>
        <v>13.738917393045275</v>
      </c>
      <c r="N50" s="36">
        <v>27</v>
      </c>
      <c r="O50" s="39">
        <f t="shared" si="2"/>
        <v>13.738917393045275</v>
      </c>
      <c r="P50" s="37">
        <f t="shared" si="3"/>
        <v>160</v>
      </c>
      <c r="Q50" s="40" t="str">
        <f>IF(ISERROR(I50),"",IF(I50="","",IF(COUNTIF($I$3:I50,I50)&gt;1,"",IFERROR(SUMIFS(Base!$P$3:$P$980,Base!$I$3:$I$980,I50)/SUMIFS(Base!$L$3:$L$980,Base!$I$3:$I$980,I50),0)+ROW()/1000000)))</f>
        <v/>
      </c>
      <c r="R50" s="40" t="str">
        <f>IF(ISERROR(G50),"",IF(G50="","",IF(COUNTIF($G$3:G50,G50)&gt;1,"",IFERROR(SUMIFS(Base!$P$3:$P$980,Base!$G$3:$G$980,G50)/SUMIFS(Base!$L$3:$L$980,Base!$G$3:$G$980,G50),0)+ROW()/1000000)))</f>
        <v/>
      </c>
    </row>
    <row r="51" spans="2:18" ht="14.25" customHeight="1" x14ac:dyDescent="0.35">
      <c r="B51" s="35" t="str">
        <f t="shared" si="0"/>
        <v>201010000406Ara</v>
      </c>
      <c r="C51" s="35" t="s">
        <v>248</v>
      </c>
      <c r="D51" s="35" t="s">
        <v>249</v>
      </c>
      <c r="E51" s="36">
        <v>201010000406</v>
      </c>
      <c r="F51" s="36">
        <v>201010000406</v>
      </c>
      <c r="G51" s="35" t="s">
        <v>50</v>
      </c>
      <c r="H51" s="35" t="s">
        <v>291</v>
      </c>
      <c r="I51" s="35" t="s">
        <v>264</v>
      </c>
      <c r="J51" s="35" t="s">
        <v>12</v>
      </c>
      <c r="K51" s="37">
        <v>1214</v>
      </c>
      <c r="L51" s="38">
        <v>26.497756598214</v>
      </c>
      <c r="M51" s="38">
        <f t="shared" si="1"/>
        <v>45.815199316980141</v>
      </c>
      <c r="N51" s="36">
        <v>36</v>
      </c>
      <c r="O51" s="39">
        <f t="shared" si="2"/>
        <v>36</v>
      </c>
      <c r="P51" s="37">
        <f t="shared" si="3"/>
        <v>953.91923753570404</v>
      </c>
      <c r="Q51" s="40" t="str">
        <f>IF(ISERROR(I51),"",IF(I51="","",IF(COUNTIF($I$3:I51,I51)&gt;1,"",IFERROR(SUMIFS(Base!$P$3:$P$980,Base!$I$3:$I$980,I51)/SUMIFS(Base!$L$3:$L$980,Base!$I$3:$I$980,I51),0)+ROW()/1000000)))</f>
        <v/>
      </c>
      <c r="R51" s="40" t="str">
        <f>IF(ISERROR(G51),"",IF(G51="","",IF(COUNTIF($G$3:G51,G51)&gt;1,"",IFERROR(SUMIFS(Base!$P$3:$P$980,Base!$G$3:$G$980,G51)/SUMIFS(Base!$L$3:$L$980,Base!$G$3:$G$980,G51),0)+ROW()/1000000)))</f>
        <v/>
      </c>
    </row>
    <row r="52" spans="2:18" ht="14.25" customHeight="1" x14ac:dyDescent="0.35">
      <c r="B52" s="35" t="str">
        <f t="shared" si="0"/>
        <v>201010000406Jpe</v>
      </c>
      <c r="C52" s="35" t="s">
        <v>248</v>
      </c>
      <c r="D52" s="35" t="s">
        <v>249</v>
      </c>
      <c r="E52" s="36">
        <v>201010000406</v>
      </c>
      <c r="F52" s="36">
        <v>201010000406</v>
      </c>
      <c r="G52" s="35" t="s">
        <v>50</v>
      </c>
      <c r="H52" s="35" t="s">
        <v>291</v>
      </c>
      <c r="I52" s="35" t="s">
        <v>264</v>
      </c>
      <c r="J52" s="35" t="s">
        <v>13</v>
      </c>
      <c r="K52" s="37">
        <v>-4</v>
      </c>
      <c r="L52" s="38">
        <v>9.0680938416331802</v>
      </c>
      <c r="M52" s="38">
        <f t="shared" si="1"/>
        <v>-0.44110703636913318</v>
      </c>
      <c r="N52" s="36">
        <v>36</v>
      </c>
      <c r="O52" s="39">
        <f t="shared" si="2"/>
        <v>-0.44110703636913318</v>
      </c>
      <c r="P52" s="37">
        <f t="shared" si="3"/>
        <v>-4</v>
      </c>
      <c r="Q52" s="40" t="str">
        <f>IF(ISERROR(I52),"",IF(I52="","",IF(COUNTIF($I$3:I52,I52)&gt;1,"",IFERROR(SUMIFS(Base!$P$3:$P$980,Base!$I$3:$I$980,I52)/SUMIFS(Base!$L$3:$L$980,Base!$I$3:$I$980,I52),0)+ROW()/1000000)))</f>
        <v/>
      </c>
      <c r="R52" s="40" t="str">
        <f>IF(ISERROR(G52),"",IF(G52="","",IF(COUNTIF($G$3:G52,G52)&gt;1,"",IFERROR(SUMIFS(Base!$P$3:$P$980,Base!$G$3:$G$980,G52)/SUMIFS(Base!$L$3:$L$980,Base!$G$3:$G$980,G52),0)+ROW()/1000000)))</f>
        <v/>
      </c>
    </row>
    <row r="53" spans="2:18" ht="14.25" customHeight="1" x14ac:dyDescent="0.35">
      <c r="B53" s="35" t="str">
        <f t="shared" si="0"/>
        <v>201030000214Ara</v>
      </c>
      <c r="C53" s="35" t="s">
        <v>248</v>
      </c>
      <c r="D53" s="35" t="s">
        <v>237</v>
      </c>
      <c r="E53" s="36">
        <v>201030000214</v>
      </c>
      <c r="F53" s="36">
        <v>201030000214</v>
      </c>
      <c r="G53" s="35" t="s">
        <v>65</v>
      </c>
      <c r="H53" s="35" t="s">
        <v>292</v>
      </c>
      <c r="I53" s="35" t="s">
        <v>290</v>
      </c>
      <c r="J53" s="35" t="s">
        <v>12</v>
      </c>
      <c r="K53" s="37">
        <v>-4</v>
      </c>
      <c r="L53" s="38">
        <v>18.0168310483871</v>
      </c>
      <c r="M53" s="38">
        <f t="shared" si="1"/>
        <v>-0.22201462561631155</v>
      </c>
      <c r="N53" s="36">
        <v>16.298447671507301</v>
      </c>
      <c r="O53" s="39">
        <f t="shared" si="2"/>
        <v>-0.22201462561631155</v>
      </c>
      <c r="P53" s="37">
        <f t="shared" si="3"/>
        <v>-4</v>
      </c>
      <c r="Q53" s="40" t="str">
        <f>IF(ISERROR(I53),"",IF(I53="","",IF(COUNTIF($I$3:I53,I53)&gt;1,"",IFERROR(SUMIFS(Base!$P$3:$P$980,Base!$I$3:$I$980,I53)/SUMIFS(Base!$L$3:$L$980,Base!$I$3:$I$980,I53),0)+ROW()/1000000)))</f>
        <v/>
      </c>
      <c r="R53" s="40" t="str">
        <f>IF(ISERROR(G53),"",IF(G53="","",IF(COUNTIF($G$3:G53,G53)&gt;1,"",IFERROR(SUMIFS(Base!$P$3:$P$980,Base!$G$3:$G$980,G53)/SUMIFS(Base!$L$3:$L$980,Base!$G$3:$G$980,G53),0)+ROW()/1000000)))</f>
        <v/>
      </c>
    </row>
    <row r="54" spans="2:18" ht="14.25" customHeight="1" x14ac:dyDescent="0.35">
      <c r="B54" s="35" t="str">
        <f t="shared" si="0"/>
        <v>201030000214Jpe</v>
      </c>
      <c r="C54" s="35" t="s">
        <v>248</v>
      </c>
      <c r="D54" s="35" t="s">
        <v>237</v>
      </c>
      <c r="E54" s="36">
        <v>201030000214</v>
      </c>
      <c r="F54" s="36">
        <v>201030000214</v>
      </c>
      <c r="G54" s="35" t="s">
        <v>65</v>
      </c>
      <c r="H54" s="35" t="s">
        <v>292</v>
      </c>
      <c r="I54" s="35" t="s">
        <v>290</v>
      </c>
      <c r="J54" s="35" t="s">
        <v>13</v>
      </c>
      <c r="K54" s="37">
        <v>124</v>
      </c>
      <c r="L54" s="38">
        <v>12.6230508064516</v>
      </c>
      <c r="M54" s="38">
        <f t="shared" si="1"/>
        <v>9.8232988127263194</v>
      </c>
      <c r="N54" s="36">
        <v>20</v>
      </c>
      <c r="O54" s="39">
        <f t="shared" si="2"/>
        <v>9.8232988127263194</v>
      </c>
      <c r="P54" s="37">
        <f t="shared" si="3"/>
        <v>124.00000000000001</v>
      </c>
      <c r="Q54" s="40" t="str">
        <f>IF(ISERROR(I54),"",IF(I54="","",IF(COUNTIF($I$3:I54,I54)&gt;1,"",IFERROR(SUMIFS(Base!$P$3:$P$980,Base!$I$3:$I$980,I54)/SUMIFS(Base!$L$3:$L$980,Base!$I$3:$I$980,I54),0)+ROW()/1000000)))</f>
        <v/>
      </c>
      <c r="R54" s="40" t="str">
        <f>IF(ISERROR(G54),"",IF(G54="","",IF(COUNTIF($G$3:G54,G54)&gt;1,"",IFERROR(SUMIFS(Base!$P$3:$P$980,Base!$G$3:$G$980,G54)/SUMIFS(Base!$L$3:$L$980,Base!$G$3:$G$980,G54),0)+ROW()/1000000)))</f>
        <v/>
      </c>
    </row>
    <row r="55" spans="2:18" ht="14.25" customHeight="1" x14ac:dyDescent="0.35">
      <c r="B55" s="35" t="str">
        <f t="shared" si="0"/>
        <v>201010000598Ara</v>
      </c>
      <c r="C55" s="35" t="s">
        <v>248</v>
      </c>
      <c r="D55" s="35" t="s">
        <v>249</v>
      </c>
      <c r="E55" s="36">
        <v>201010000598</v>
      </c>
      <c r="F55" s="36">
        <v>201010000598</v>
      </c>
      <c r="G55" s="35" t="s">
        <v>115</v>
      </c>
      <c r="H55" s="35" t="s">
        <v>293</v>
      </c>
      <c r="I55" s="35" t="s">
        <v>294</v>
      </c>
      <c r="J55" s="35" t="s">
        <v>12</v>
      </c>
      <c r="K55" s="37">
        <v>429</v>
      </c>
      <c r="L55" s="38">
        <v>18.6752136855998</v>
      </c>
      <c r="M55" s="38">
        <f t="shared" si="1"/>
        <v>22.971624701183259</v>
      </c>
      <c r="N55" s="36">
        <v>17.354330708661401</v>
      </c>
      <c r="O55" s="39">
        <f t="shared" si="2"/>
        <v>17.354330708661401</v>
      </c>
      <c r="P55" s="37">
        <f t="shared" si="3"/>
        <v>324.09583435481829</v>
      </c>
      <c r="Q55" s="40">
        <f>IF(ISERROR(I55),"",IF(I55="","",IF(COUNTIF($I$3:I55,I55)&gt;1,"",IFERROR(SUMIFS(Base!$P$3:$P$980,Base!$I$3:$I$980,I55)/SUMIFS(Base!$L$3:$L$980,Base!$I$3:$I$980,I55),0)+ROW()/1000000)))</f>
        <v>12.659746817357878</v>
      </c>
      <c r="R55" s="40" t="str">
        <f>IF(ISERROR(G55),"",IF(G55="","",IF(COUNTIF($G$3:G55,G55)&gt;1,"",IFERROR(SUMIFS(Base!$P$3:$P$980,Base!$G$3:$G$980,G55)/SUMIFS(Base!$L$3:$L$980,Base!$G$3:$G$980,G55),0)+ROW()/1000000)))</f>
        <v/>
      </c>
    </row>
    <row r="56" spans="2:18" ht="14.25" customHeight="1" x14ac:dyDescent="0.35">
      <c r="B56" s="35" t="str">
        <f t="shared" si="0"/>
        <v>201010000598Jpe</v>
      </c>
      <c r="C56" s="35" t="s">
        <v>248</v>
      </c>
      <c r="D56" s="35" t="s">
        <v>249</v>
      </c>
      <c r="E56" s="36">
        <v>201010000598</v>
      </c>
      <c r="F56" s="36">
        <v>201010000598</v>
      </c>
      <c r="G56" s="35" t="s">
        <v>115</v>
      </c>
      <c r="H56" s="35" t="s">
        <v>293</v>
      </c>
      <c r="I56" s="35" t="s">
        <v>294</v>
      </c>
      <c r="J56" s="35" t="s">
        <v>13</v>
      </c>
      <c r="K56" s="37">
        <v>131</v>
      </c>
      <c r="L56" s="38">
        <v>12.9509743540249</v>
      </c>
      <c r="M56" s="38">
        <f t="shared" si="1"/>
        <v>10.115069061138852</v>
      </c>
      <c r="N56" s="36">
        <v>18</v>
      </c>
      <c r="O56" s="39">
        <f t="shared" si="2"/>
        <v>10.115069061138852</v>
      </c>
      <c r="P56" s="37">
        <f t="shared" si="3"/>
        <v>131</v>
      </c>
      <c r="Q56" s="40" t="str">
        <f>IF(ISERROR(I56),"",IF(I56="","",IF(COUNTIF($I$3:I56,I56)&gt;1,"",IFERROR(SUMIFS(Base!$P$3:$P$980,Base!$I$3:$I$980,I56)/SUMIFS(Base!$L$3:$L$980,Base!$I$3:$I$980,I56),0)+ROW()/1000000)))</f>
        <v/>
      </c>
      <c r="R56" s="40" t="str">
        <f>IF(ISERROR(G56),"",IF(G56="","",IF(COUNTIF($G$3:G56,G56)&gt;1,"",IFERROR(SUMIFS(Base!$P$3:$P$980,Base!$G$3:$G$980,G56)/SUMIFS(Base!$L$3:$L$980,Base!$G$3:$G$980,G56),0)+ROW()/1000000)))</f>
        <v/>
      </c>
    </row>
    <row r="57" spans="2:18" ht="14.25" customHeight="1" x14ac:dyDescent="0.35">
      <c r="B57" s="35" t="str">
        <f t="shared" si="0"/>
        <v>201080000005Ara</v>
      </c>
      <c r="C57" s="35" t="s">
        <v>248</v>
      </c>
      <c r="D57" s="35" t="s">
        <v>249</v>
      </c>
      <c r="E57" s="36">
        <v>201080000005</v>
      </c>
      <c r="F57" s="36">
        <v>201080000005</v>
      </c>
      <c r="G57" s="35" t="s">
        <v>26</v>
      </c>
      <c r="H57" s="35" t="s">
        <v>295</v>
      </c>
      <c r="I57" s="35" t="s">
        <v>296</v>
      </c>
      <c r="J57" s="35" t="s">
        <v>12</v>
      </c>
      <c r="K57" s="37">
        <v>494</v>
      </c>
      <c r="L57" s="38">
        <v>20.3046698153112</v>
      </c>
      <c r="M57" s="38">
        <f t="shared" si="1"/>
        <v>24.329378635228434</v>
      </c>
      <c r="N57" s="36">
        <v>31</v>
      </c>
      <c r="O57" s="39">
        <f t="shared" si="2"/>
        <v>24.329378635228434</v>
      </c>
      <c r="P57" s="37">
        <f t="shared" si="3"/>
        <v>494</v>
      </c>
      <c r="Q57" s="40">
        <f>IF(ISERROR(I57),"",IF(I57="","",IF(COUNTIF($I$3:I57,I57)&gt;1,"",IFERROR(SUMIFS(Base!$P$3:$P$980,Base!$I$3:$I$980,I57)/SUMIFS(Base!$L$3:$L$980,Base!$I$3:$I$980,I57),0)+ROW()/1000000)))</f>
        <v>21.738370419990293</v>
      </c>
      <c r="R57" s="40" t="str">
        <f>IF(ISERROR(G57),"",IF(G57="","",IF(COUNTIF($G$3:G57,G57)&gt;1,"",IFERROR(SUMIFS(Base!$P$3:$P$980,Base!$G$3:$G$980,G57)/SUMIFS(Base!$L$3:$L$980,Base!$G$3:$G$980,G57),0)+ROW()/1000000)))</f>
        <v/>
      </c>
    </row>
    <row r="58" spans="2:18" ht="14.25" customHeight="1" x14ac:dyDescent="0.35">
      <c r="B58" s="35" t="str">
        <f t="shared" si="0"/>
        <v>201080000005Jpe</v>
      </c>
      <c r="C58" s="35" t="s">
        <v>248</v>
      </c>
      <c r="D58" s="35" t="s">
        <v>249</v>
      </c>
      <c r="E58" s="36">
        <v>201080000005</v>
      </c>
      <c r="F58" s="36">
        <v>201080000005</v>
      </c>
      <c r="G58" s="35" t="s">
        <v>26</v>
      </c>
      <c r="H58" s="35" t="s">
        <v>295</v>
      </c>
      <c r="I58" s="35" t="s">
        <v>296</v>
      </c>
      <c r="J58" s="35" t="s">
        <v>13</v>
      </c>
      <c r="K58" s="37">
        <v>241</v>
      </c>
      <c r="L58" s="38">
        <v>13.5066009028717</v>
      </c>
      <c r="M58" s="38">
        <f t="shared" si="1"/>
        <v>17.843127351809137</v>
      </c>
      <c r="N58" s="36">
        <v>31</v>
      </c>
      <c r="O58" s="39">
        <f t="shared" si="2"/>
        <v>17.843127351809137</v>
      </c>
      <c r="P58" s="37">
        <f t="shared" si="3"/>
        <v>241.00000000000003</v>
      </c>
      <c r="Q58" s="40" t="str">
        <f>IF(ISERROR(I58),"",IF(I58="","",IF(COUNTIF($I$3:I58,I58)&gt;1,"",IFERROR(SUMIFS(Base!$P$3:$P$980,Base!$I$3:$I$980,I58)/SUMIFS(Base!$L$3:$L$980,Base!$I$3:$I$980,I58),0)+ROW()/1000000)))</f>
        <v/>
      </c>
      <c r="R58" s="40" t="str">
        <f>IF(ISERROR(G58),"",IF(G58="","",IF(COUNTIF($G$3:G58,G58)&gt;1,"",IFERROR(SUMIFS(Base!$P$3:$P$980,Base!$G$3:$G$980,G58)/SUMIFS(Base!$L$3:$L$980,Base!$G$3:$G$980,G58),0)+ROW()/1000000)))</f>
        <v/>
      </c>
    </row>
    <row r="59" spans="2:18" ht="14.25" customHeight="1" x14ac:dyDescent="0.35">
      <c r="B59" s="35" t="str">
        <f t="shared" si="0"/>
        <v>201030000413Ara</v>
      </c>
      <c r="C59" s="35" t="s">
        <v>248</v>
      </c>
      <c r="D59" s="35" t="s">
        <v>249</v>
      </c>
      <c r="E59" s="36">
        <v>201030000413</v>
      </c>
      <c r="F59" s="36">
        <v>201030000413</v>
      </c>
      <c r="G59" s="35" t="s">
        <v>65</v>
      </c>
      <c r="H59" s="35" t="s">
        <v>297</v>
      </c>
      <c r="I59" s="35" t="s">
        <v>298</v>
      </c>
      <c r="J59" s="35" t="s">
        <v>12</v>
      </c>
      <c r="K59" s="37">
        <v>270</v>
      </c>
      <c r="L59" s="38">
        <v>12.7232179939516</v>
      </c>
      <c r="M59" s="38">
        <f t="shared" si="1"/>
        <v>21.221046446610707</v>
      </c>
      <c r="N59" s="36">
        <v>25.995405819295598</v>
      </c>
      <c r="O59" s="39">
        <f t="shared" si="2"/>
        <v>21.221046446610707</v>
      </c>
      <c r="P59" s="37">
        <f t="shared" si="3"/>
        <v>270</v>
      </c>
      <c r="Q59" s="40">
        <f>IF(ISERROR(I59),"",IF(I59="","",IF(COUNTIF($I$3:I59,I59)&gt;1,"",IFERROR(SUMIFS(Base!$P$3:$P$980,Base!$I$3:$I$980,I59)/SUMIFS(Base!$L$3:$L$980,Base!$I$3:$I$980,I59),0)+ROW()/1000000)))</f>
        <v>11.936355232195721</v>
      </c>
      <c r="R59" s="40" t="str">
        <f>IF(ISERROR(G59),"",IF(G59="","",IF(COUNTIF($G$3:G59,G59)&gt;1,"",IFERROR(SUMIFS(Base!$P$3:$P$980,Base!$G$3:$G$980,G59)/SUMIFS(Base!$L$3:$L$980,Base!$G$3:$G$980,G59),0)+ROW()/1000000)))</f>
        <v/>
      </c>
    </row>
    <row r="60" spans="2:18" ht="14.25" customHeight="1" x14ac:dyDescent="0.35">
      <c r="B60" s="35" t="str">
        <f t="shared" si="0"/>
        <v>201030000413Jpe</v>
      </c>
      <c r="C60" s="35" t="s">
        <v>248</v>
      </c>
      <c r="D60" s="35" t="s">
        <v>249</v>
      </c>
      <c r="E60" s="36">
        <v>201030000413</v>
      </c>
      <c r="F60" s="36">
        <v>201030000413</v>
      </c>
      <c r="G60" s="35" t="s">
        <v>65</v>
      </c>
      <c r="H60" s="35" t="s">
        <v>297</v>
      </c>
      <c r="I60" s="35" t="s">
        <v>298</v>
      </c>
      <c r="J60" s="35" t="s">
        <v>13</v>
      </c>
      <c r="K60" s="37">
        <v>241</v>
      </c>
      <c r="L60" s="38">
        <v>7.8118790826612896</v>
      </c>
      <c r="M60" s="38">
        <f t="shared" si="1"/>
        <v>30.850451914304081</v>
      </c>
      <c r="N60" s="36">
        <v>16</v>
      </c>
      <c r="O60" s="39">
        <f t="shared" si="2"/>
        <v>16</v>
      </c>
      <c r="P60" s="37">
        <f t="shared" si="3"/>
        <v>124.99006532258063</v>
      </c>
      <c r="Q60" s="40" t="str">
        <f>IF(ISERROR(I60),"",IF(I60="","",IF(COUNTIF($I$3:I60,I60)&gt;1,"",IFERROR(SUMIFS(Base!$P$3:$P$980,Base!$I$3:$I$980,I60)/SUMIFS(Base!$L$3:$L$980,Base!$I$3:$I$980,I60),0)+ROW()/1000000)))</f>
        <v/>
      </c>
      <c r="R60" s="40" t="str">
        <f>IF(ISERROR(G60),"",IF(G60="","",IF(COUNTIF($G$3:G60,G60)&gt;1,"",IFERROR(SUMIFS(Base!$P$3:$P$980,Base!$G$3:$G$980,G60)/SUMIFS(Base!$L$3:$L$980,Base!$G$3:$G$980,G60),0)+ROW()/1000000)))</f>
        <v/>
      </c>
    </row>
    <row r="61" spans="2:18" ht="14.25" customHeight="1" x14ac:dyDescent="0.35">
      <c r="B61" s="35" t="str">
        <f t="shared" si="0"/>
        <v>201030000356Ara</v>
      </c>
      <c r="C61" s="35" t="s">
        <v>248</v>
      </c>
      <c r="D61" s="35" t="s">
        <v>237</v>
      </c>
      <c r="E61" s="36">
        <v>201030000356</v>
      </c>
      <c r="F61" s="36">
        <v>201030000356</v>
      </c>
      <c r="G61" s="35" t="s">
        <v>65</v>
      </c>
      <c r="H61" s="35" t="s">
        <v>299</v>
      </c>
      <c r="I61" s="35" t="s">
        <v>300</v>
      </c>
      <c r="J61" s="35" t="s">
        <v>12</v>
      </c>
      <c r="K61" s="37">
        <v>372</v>
      </c>
      <c r="L61" s="38">
        <v>11.950867416364501</v>
      </c>
      <c r="M61" s="38">
        <f t="shared" si="1"/>
        <v>31.127447660461439</v>
      </c>
      <c r="N61" s="36">
        <v>25.0097902097902</v>
      </c>
      <c r="O61" s="39">
        <f t="shared" si="2"/>
        <v>25.0097902097902</v>
      </c>
      <c r="P61" s="37">
        <f t="shared" si="3"/>
        <v>298.88868690829361</v>
      </c>
      <c r="Q61" s="40">
        <f>IF(ISERROR(I61),"",IF(I61="","",IF(COUNTIF($I$3:I61,I61)&gt;1,"",IFERROR(SUMIFS(Base!$P$3:$P$980,Base!$I$3:$I$980,I61)/SUMIFS(Base!$L$3:$L$980,Base!$I$3:$I$980,I61),0)+ROW()/1000000)))</f>
        <v>22.052414161149446</v>
      </c>
      <c r="R61" s="40" t="str">
        <f>IF(ISERROR(G61),"",IF(G61="","",IF(COUNTIF($G$3:G61,G61)&gt;1,"",IFERROR(SUMIFS(Base!$P$3:$P$980,Base!$G$3:$G$980,G61)/SUMIFS(Base!$L$3:$L$980,Base!$G$3:$G$980,G61),0)+ROW()/1000000)))</f>
        <v/>
      </c>
    </row>
    <row r="62" spans="2:18" ht="14.25" customHeight="1" x14ac:dyDescent="0.35">
      <c r="B62" s="35" t="str">
        <f t="shared" si="0"/>
        <v>201030000356Jpe</v>
      </c>
      <c r="C62" s="35" t="s">
        <v>248</v>
      </c>
      <c r="D62" s="35" t="s">
        <v>237</v>
      </c>
      <c r="E62" s="36">
        <v>201030000356</v>
      </c>
      <c r="F62" s="36">
        <v>201030000356</v>
      </c>
      <c r="G62" s="35" t="s">
        <v>65</v>
      </c>
      <c r="H62" s="35" t="s">
        <v>299</v>
      </c>
      <c r="I62" s="35" t="s">
        <v>300</v>
      </c>
      <c r="J62" s="35" t="s">
        <v>13</v>
      </c>
      <c r="K62" s="37">
        <v>351</v>
      </c>
      <c r="L62" s="38">
        <v>11.579242700487599</v>
      </c>
      <c r="M62" s="38">
        <f t="shared" si="1"/>
        <v>30.312863205226666</v>
      </c>
      <c r="N62" s="36">
        <v>19</v>
      </c>
      <c r="O62" s="39">
        <f t="shared" si="2"/>
        <v>19</v>
      </c>
      <c r="P62" s="37">
        <f t="shared" si="3"/>
        <v>220.0056113092644</v>
      </c>
      <c r="Q62" s="40" t="str">
        <f>IF(ISERROR(I62),"",IF(I62="","",IF(COUNTIF($I$3:I62,I62)&gt;1,"",IFERROR(SUMIFS(Base!$P$3:$P$980,Base!$I$3:$I$980,I62)/SUMIFS(Base!$L$3:$L$980,Base!$I$3:$I$980,I62),0)+ROW()/1000000)))</f>
        <v/>
      </c>
      <c r="R62" s="40" t="str">
        <f>IF(ISERROR(G62),"",IF(G62="","",IF(COUNTIF($G$3:G62,G62)&gt;1,"",IFERROR(SUMIFS(Base!$P$3:$P$980,Base!$G$3:$G$980,G62)/SUMIFS(Base!$L$3:$L$980,Base!$G$3:$G$980,G62),0)+ROW()/1000000)))</f>
        <v/>
      </c>
    </row>
    <row r="63" spans="2:18" ht="14.25" customHeight="1" x14ac:dyDescent="0.35">
      <c r="B63" s="35" t="str">
        <f t="shared" si="0"/>
        <v>201010000492Ara</v>
      </c>
      <c r="C63" s="35" t="s">
        <v>248</v>
      </c>
      <c r="D63" s="35" t="s">
        <v>249</v>
      </c>
      <c r="E63" s="36">
        <v>201010000492</v>
      </c>
      <c r="F63" s="36">
        <v>201010000492</v>
      </c>
      <c r="G63" s="35" t="s">
        <v>31</v>
      </c>
      <c r="H63" s="35" t="s">
        <v>301</v>
      </c>
      <c r="I63" s="35" t="s">
        <v>253</v>
      </c>
      <c r="J63" s="35" t="s">
        <v>12</v>
      </c>
      <c r="K63" s="37">
        <v>427</v>
      </c>
      <c r="L63" s="38">
        <v>19.741815578934698</v>
      </c>
      <c r="M63" s="38">
        <f t="shared" si="1"/>
        <v>21.629216334875803</v>
      </c>
      <c r="N63" s="36">
        <v>15</v>
      </c>
      <c r="O63" s="39">
        <f t="shared" si="2"/>
        <v>15</v>
      </c>
      <c r="P63" s="37">
        <f t="shared" si="3"/>
        <v>296.1272336840205</v>
      </c>
      <c r="Q63" s="40" t="str">
        <f>IF(ISERROR(I63),"",IF(I63="","",IF(COUNTIF($I$3:I63,I63)&gt;1,"",IFERROR(SUMIFS(Base!$P$3:$P$980,Base!$I$3:$I$980,I63)/SUMIFS(Base!$L$3:$L$980,Base!$I$3:$I$980,I63),0)+ROW()/1000000)))</f>
        <v/>
      </c>
      <c r="R63" s="40" t="str">
        <f>IF(ISERROR(G63),"",IF(G63="","",IF(COUNTIF($G$3:G63,G63)&gt;1,"",IFERROR(SUMIFS(Base!$P$3:$P$980,Base!$G$3:$G$980,G63)/SUMIFS(Base!$L$3:$L$980,Base!$G$3:$G$980,G63),0)+ROW()/1000000)))</f>
        <v/>
      </c>
    </row>
    <row r="64" spans="2:18" ht="14.25" customHeight="1" x14ac:dyDescent="0.35">
      <c r="B64" s="35" t="str">
        <f t="shared" si="0"/>
        <v>201010000492Jpe</v>
      </c>
      <c r="C64" s="35" t="s">
        <v>248</v>
      </c>
      <c r="D64" s="35" t="s">
        <v>249</v>
      </c>
      <c r="E64" s="36">
        <v>201010000492</v>
      </c>
      <c r="F64" s="36">
        <v>201010000492</v>
      </c>
      <c r="G64" s="35" t="s">
        <v>31</v>
      </c>
      <c r="H64" s="35" t="s">
        <v>301</v>
      </c>
      <c r="I64" s="35" t="s">
        <v>253</v>
      </c>
      <c r="J64" s="35" t="s">
        <v>13</v>
      </c>
      <c r="K64" s="37">
        <v>93</v>
      </c>
      <c r="L64" s="38">
        <v>7.5542095473373703</v>
      </c>
      <c r="M64" s="38">
        <f t="shared" si="1"/>
        <v>12.311016714221235</v>
      </c>
      <c r="N64" s="36">
        <v>15</v>
      </c>
      <c r="O64" s="39">
        <f t="shared" si="2"/>
        <v>12.311016714221235</v>
      </c>
      <c r="P64" s="37">
        <f t="shared" si="3"/>
        <v>93</v>
      </c>
      <c r="Q64" s="40" t="str">
        <f>IF(ISERROR(I64),"",IF(I64="","",IF(COUNTIF($I$3:I64,I64)&gt;1,"",IFERROR(SUMIFS(Base!$P$3:$P$980,Base!$I$3:$I$980,I64)/SUMIFS(Base!$L$3:$L$980,Base!$I$3:$I$980,I64),0)+ROW()/1000000)))</f>
        <v/>
      </c>
      <c r="R64" s="40" t="str">
        <f>IF(ISERROR(G64),"",IF(G64="","",IF(COUNTIF($G$3:G64,G64)&gt;1,"",IFERROR(SUMIFS(Base!$P$3:$P$980,Base!$G$3:$G$980,G64)/SUMIFS(Base!$L$3:$L$980,Base!$G$3:$G$980,G64),0)+ROW()/1000000)))</f>
        <v/>
      </c>
    </row>
    <row r="65" spans="2:18" ht="14.25" customHeight="1" x14ac:dyDescent="0.35">
      <c r="B65" s="35" t="str">
        <f t="shared" si="0"/>
        <v>201010006004Ara</v>
      </c>
      <c r="C65" s="35" t="s">
        <v>248</v>
      </c>
      <c r="D65" s="35" t="s">
        <v>237</v>
      </c>
      <c r="E65" s="36">
        <v>201010006004</v>
      </c>
      <c r="F65" s="36">
        <v>201010006004</v>
      </c>
      <c r="G65" s="35" t="s">
        <v>45</v>
      </c>
      <c r="H65" s="35" t="s">
        <v>302</v>
      </c>
      <c r="I65" s="35" t="s">
        <v>303</v>
      </c>
      <c r="J65" s="35" t="s">
        <v>12</v>
      </c>
      <c r="K65" s="37">
        <v>315</v>
      </c>
      <c r="L65" s="38">
        <v>28.696431451612899</v>
      </c>
      <c r="M65" s="38">
        <f t="shared" si="1"/>
        <v>10.976974629446312</v>
      </c>
      <c r="N65" s="36">
        <v>19.8624759813341</v>
      </c>
      <c r="O65" s="39">
        <f t="shared" si="2"/>
        <v>10.976974629446312</v>
      </c>
      <c r="P65" s="37">
        <f t="shared" si="3"/>
        <v>315</v>
      </c>
      <c r="Q65" s="40">
        <f>IF(ISERROR(I65),"",IF(I65="","",IF(COUNTIF($I$3:I65,I65)&gt;1,"",IFERROR(SUMIFS(Base!$P$3:$P$980,Base!$I$3:$I$980,I65)/SUMIFS(Base!$L$3:$L$980,Base!$I$3:$I$980,I65),0)+ROW()/1000000)))</f>
        <v>11.209534042830294</v>
      </c>
      <c r="R65" s="40" t="str">
        <f>IF(ISERROR(G65),"",IF(G65="","",IF(COUNTIF($G$3:G65,G65)&gt;1,"",IFERROR(SUMIFS(Base!$P$3:$P$980,Base!$G$3:$G$980,G65)/SUMIFS(Base!$L$3:$L$980,Base!$G$3:$G$980,G65),0)+ROW()/1000000)))</f>
        <v/>
      </c>
    </row>
    <row r="66" spans="2:18" ht="14.25" customHeight="1" x14ac:dyDescent="0.35">
      <c r="B66" s="35" t="str">
        <f t="shared" si="0"/>
        <v>201010006004Jpe</v>
      </c>
      <c r="C66" s="35" t="s">
        <v>248</v>
      </c>
      <c r="D66" s="35" t="s">
        <v>237</v>
      </c>
      <c r="E66" s="36">
        <v>201010006004</v>
      </c>
      <c r="F66" s="36">
        <v>201010006004</v>
      </c>
      <c r="G66" s="35" t="s">
        <v>45</v>
      </c>
      <c r="H66" s="35" t="s">
        <v>302</v>
      </c>
      <c r="I66" s="35" t="s">
        <v>303</v>
      </c>
      <c r="J66" s="35" t="s">
        <v>13</v>
      </c>
      <c r="K66" s="37">
        <v>235</v>
      </c>
      <c r="L66" s="38">
        <v>20.369228830645199</v>
      </c>
      <c r="M66" s="38">
        <f t="shared" si="1"/>
        <v>11.537010161447352</v>
      </c>
      <c r="N66" s="36">
        <v>26</v>
      </c>
      <c r="O66" s="39">
        <f t="shared" si="2"/>
        <v>11.537010161447352</v>
      </c>
      <c r="P66" s="37">
        <f t="shared" si="3"/>
        <v>235.00000000000003</v>
      </c>
      <c r="Q66" s="40" t="str">
        <f>IF(ISERROR(I66),"",IF(I66="","",IF(COUNTIF($I$3:I66,I66)&gt;1,"",IFERROR(SUMIFS(Base!$P$3:$P$980,Base!$I$3:$I$980,I66)/SUMIFS(Base!$L$3:$L$980,Base!$I$3:$I$980,I66),0)+ROW()/1000000)))</f>
        <v/>
      </c>
      <c r="R66" s="40" t="str">
        <f>IF(ISERROR(G66),"",IF(G66="","",IF(COUNTIF($G$3:G66,G66)&gt;1,"",IFERROR(SUMIFS(Base!$P$3:$P$980,Base!$G$3:$G$980,G66)/SUMIFS(Base!$L$3:$L$980,Base!$G$3:$G$980,G66),0)+ROW()/1000000)))</f>
        <v/>
      </c>
    </row>
    <row r="67" spans="2:18" ht="14.25" customHeight="1" x14ac:dyDescent="0.35">
      <c r="B67" s="35" t="str">
        <f t="shared" ref="B67:B130" si="4">E67&amp;J67</f>
        <v>201030000213Ara</v>
      </c>
      <c r="C67" s="35" t="s">
        <v>248</v>
      </c>
      <c r="D67" s="35" t="s">
        <v>237</v>
      </c>
      <c r="E67" s="36">
        <v>201030000213</v>
      </c>
      <c r="F67" s="36">
        <v>201030000213</v>
      </c>
      <c r="G67" s="35" t="s">
        <v>65</v>
      </c>
      <c r="H67" s="35" t="s">
        <v>304</v>
      </c>
      <c r="I67" s="35" t="s">
        <v>290</v>
      </c>
      <c r="J67" s="35" t="s">
        <v>12</v>
      </c>
      <c r="K67" s="37">
        <v>274</v>
      </c>
      <c r="L67" s="38">
        <v>16.1562936491936</v>
      </c>
      <c r="M67" s="38">
        <f t="shared" ref="M67:M130" si="5">IFERROR(K67/L67,0)</f>
        <v>16.959335225605781</v>
      </c>
      <c r="N67" s="36">
        <v>20.682406209573099</v>
      </c>
      <c r="O67" s="39">
        <f t="shared" ref="O67:O130" si="6">IF(M67&gt;N67,N67,M67)</f>
        <v>16.959335225605781</v>
      </c>
      <c r="P67" s="37">
        <f t="shared" ref="P67:P130" si="7">O67*L67</f>
        <v>274</v>
      </c>
      <c r="Q67" s="40" t="str">
        <f>IF(ISERROR(I67),"",IF(I67="","",IF(COUNTIF($I$3:I67,I67)&gt;1,"",IFERROR(SUMIFS(Base!$P$3:$P$980,Base!$I$3:$I$980,I67)/SUMIFS(Base!$L$3:$L$980,Base!$I$3:$I$980,I67),0)+ROW()/1000000)))</f>
        <v/>
      </c>
      <c r="R67" s="40" t="str">
        <f>IF(ISERROR(G67),"",IF(G67="","",IF(COUNTIF($G$3:G67,G67)&gt;1,"",IFERROR(SUMIFS(Base!$P$3:$P$980,Base!$G$3:$G$980,G67)/SUMIFS(Base!$L$3:$L$980,Base!$G$3:$G$980,G67),0)+ROW()/1000000)))</f>
        <v/>
      </c>
    </row>
    <row r="68" spans="2:18" ht="14.25" customHeight="1" x14ac:dyDescent="0.35">
      <c r="B68" s="35" t="str">
        <f t="shared" si="4"/>
        <v>201030000213Jpe</v>
      </c>
      <c r="C68" s="35" t="s">
        <v>248</v>
      </c>
      <c r="D68" s="35" t="s">
        <v>237</v>
      </c>
      <c r="E68" s="36">
        <v>201030000213</v>
      </c>
      <c r="F68" s="36">
        <v>201030000213</v>
      </c>
      <c r="G68" s="35" t="s">
        <v>65</v>
      </c>
      <c r="H68" s="35" t="s">
        <v>304</v>
      </c>
      <c r="I68" s="35" t="s">
        <v>290</v>
      </c>
      <c r="J68" s="35" t="s">
        <v>13</v>
      </c>
      <c r="K68" s="37">
        <v>120</v>
      </c>
      <c r="L68" s="38">
        <v>9.8973121975806908</v>
      </c>
      <c r="M68" s="38">
        <f t="shared" si="5"/>
        <v>12.124503865739722</v>
      </c>
      <c r="N68" s="36">
        <v>19</v>
      </c>
      <c r="O68" s="39">
        <f t="shared" si="6"/>
        <v>12.124503865739722</v>
      </c>
      <c r="P68" s="37">
        <f t="shared" si="7"/>
        <v>119.99999999999999</v>
      </c>
      <c r="Q68" s="40" t="str">
        <f>IF(ISERROR(I68),"",IF(I68="","",IF(COUNTIF($I$3:I68,I68)&gt;1,"",IFERROR(SUMIFS(Base!$P$3:$P$980,Base!$I$3:$I$980,I68)/SUMIFS(Base!$L$3:$L$980,Base!$I$3:$I$980,I68),0)+ROW()/1000000)))</f>
        <v/>
      </c>
      <c r="R68" s="40" t="str">
        <f>IF(ISERROR(G68),"",IF(G68="","",IF(COUNTIF($G$3:G68,G68)&gt;1,"",IFERROR(SUMIFS(Base!$P$3:$P$980,Base!$G$3:$G$980,G68)/SUMIFS(Base!$L$3:$L$980,Base!$G$3:$G$980,G68),0)+ROW()/1000000)))</f>
        <v/>
      </c>
    </row>
    <row r="69" spans="2:18" ht="14.25" customHeight="1" x14ac:dyDescent="0.35">
      <c r="B69" s="35" t="str">
        <f t="shared" si="4"/>
        <v>221000000612Ara</v>
      </c>
      <c r="C69" s="35" t="s">
        <v>248</v>
      </c>
      <c r="D69" s="35" t="s">
        <v>237</v>
      </c>
      <c r="E69" s="36">
        <v>221000000612</v>
      </c>
      <c r="F69" s="36">
        <v>221000000612</v>
      </c>
      <c r="G69" s="35" t="s">
        <v>65</v>
      </c>
      <c r="H69" s="35" t="s">
        <v>305</v>
      </c>
      <c r="I69" s="35" t="s">
        <v>290</v>
      </c>
      <c r="J69" s="35" t="s">
        <v>12</v>
      </c>
      <c r="K69" s="37">
        <v>280</v>
      </c>
      <c r="L69" s="38">
        <v>11.333533241354701</v>
      </c>
      <c r="M69" s="38">
        <f t="shared" si="5"/>
        <v>24.705446574975724</v>
      </c>
      <c r="N69" s="36">
        <v>19.4493177387914</v>
      </c>
      <c r="O69" s="39">
        <f t="shared" si="6"/>
        <v>19.4493177387914</v>
      </c>
      <c r="P69" s="37">
        <f t="shared" si="7"/>
        <v>220.42948911426197</v>
      </c>
      <c r="Q69" s="40" t="str">
        <f>IF(ISERROR(I69),"",IF(I69="","",IF(COUNTIF($I$3:I69,I69)&gt;1,"",IFERROR(SUMIFS(Base!$P$3:$P$980,Base!$I$3:$I$980,I69)/SUMIFS(Base!$L$3:$L$980,Base!$I$3:$I$980,I69),0)+ROW()/1000000)))</f>
        <v/>
      </c>
      <c r="R69" s="40" t="str">
        <f>IF(ISERROR(G69),"",IF(G69="","",IF(COUNTIF($G$3:G69,G69)&gt;1,"",IFERROR(SUMIFS(Base!$P$3:$P$980,Base!$G$3:$G$980,G69)/SUMIFS(Base!$L$3:$L$980,Base!$G$3:$G$980,G69),0)+ROW()/1000000)))</f>
        <v/>
      </c>
    </row>
    <row r="70" spans="2:18" ht="14.25" customHeight="1" x14ac:dyDescent="0.35">
      <c r="B70" s="35" t="str">
        <f t="shared" si="4"/>
        <v>221000000612Jpe</v>
      </c>
      <c r="C70" s="35" t="s">
        <v>248</v>
      </c>
      <c r="D70" s="35" t="s">
        <v>237</v>
      </c>
      <c r="E70" s="36">
        <v>221000000612</v>
      </c>
      <c r="F70" s="36">
        <v>221000000612</v>
      </c>
      <c r="G70" s="35" t="s">
        <v>65</v>
      </c>
      <c r="H70" s="35" t="s">
        <v>305</v>
      </c>
      <c r="I70" s="35" t="s">
        <v>290</v>
      </c>
      <c r="J70" s="35" t="s">
        <v>13</v>
      </c>
      <c r="K70" s="37">
        <v>114</v>
      </c>
      <c r="L70" s="38">
        <v>4.2498088667179399</v>
      </c>
      <c r="M70" s="38">
        <f t="shared" si="5"/>
        <v>26.824735788186256</v>
      </c>
      <c r="N70" s="36">
        <v>17</v>
      </c>
      <c r="O70" s="39">
        <f t="shared" si="6"/>
        <v>17</v>
      </c>
      <c r="P70" s="37">
        <f t="shared" si="7"/>
        <v>72.24675073420498</v>
      </c>
      <c r="Q70" s="40" t="str">
        <f>IF(ISERROR(I70),"",IF(I70="","",IF(COUNTIF($I$3:I70,I70)&gt;1,"",IFERROR(SUMIFS(Base!$P$3:$P$980,Base!$I$3:$I$980,I70)/SUMIFS(Base!$L$3:$L$980,Base!$I$3:$I$980,I70),0)+ROW()/1000000)))</f>
        <v/>
      </c>
      <c r="R70" s="40" t="str">
        <f>IF(ISERROR(G70),"",IF(G70="","",IF(COUNTIF($G$3:G70,G70)&gt;1,"",IFERROR(SUMIFS(Base!$P$3:$P$980,Base!$G$3:$G$980,G70)/SUMIFS(Base!$L$3:$L$980,Base!$G$3:$G$980,G70),0)+ROW()/1000000)))</f>
        <v/>
      </c>
    </row>
    <row r="71" spans="2:18" ht="14.25" customHeight="1" x14ac:dyDescent="0.35">
      <c r="B71" s="35" t="str">
        <f t="shared" si="4"/>
        <v>201010000567Ara</v>
      </c>
      <c r="C71" s="35" t="s">
        <v>248</v>
      </c>
      <c r="D71" s="35" t="s">
        <v>237</v>
      </c>
      <c r="E71" s="36">
        <v>201010000567</v>
      </c>
      <c r="F71" s="36">
        <v>201010000567</v>
      </c>
      <c r="G71" s="35" t="s">
        <v>50</v>
      </c>
      <c r="H71" s="35" t="s">
        <v>306</v>
      </c>
      <c r="I71" s="35" t="s">
        <v>272</v>
      </c>
      <c r="J71" s="35" t="s">
        <v>12</v>
      </c>
      <c r="K71" s="37">
        <v>763</v>
      </c>
      <c r="L71" s="38">
        <v>21.036582644465401</v>
      </c>
      <c r="M71" s="38">
        <f t="shared" si="5"/>
        <v>36.270149619607572</v>
      </c>
      <c r="N71" s="36">
        <v>21.631543847949299</v>
      </c>
      <c r="O71" s="39">
        <f t="shared" si="6"/>
        <v>21.631543847949299</v>
      </c>
      <c r="P71" s="37">
        <f t="shared" si="7"/>
        <v>455.05375988476254</v>
      </c>
      <c r="Q71" s="40" t="str">
        <f>IF(ISERROR(I71),"",IF(I71="","",IF(COUNTIF($I$3:I71,I71)&gt;1,"",IFERROR(SUMIFS(Base!$P$3:$P$980,Base!$I$3:$I$980,I71)/SUMIFS(Base!$L$3:$L$980,Base!$I$3:$I$980,I71),0)+ROW()/1000000)))</f>
        <v/>
      </c>
      <c r="R71" s="40" t="str">
        <f>IF(ISERROR(G71),"",IF(G71="","",IF(COUNTIF($G$3:G71,G71)&gt;1,"",IFERROR(SUMIFS(Base!$P$3:$P$980,Base!$G$3:$G$980,G71)/SUMIFS(Base!$L$3:$L$980,Base!$G$3:$G$980,G71),0)+ROW()/1000000)))</f>
        <v/>
      </c>
    </row>
    <row r="72" spans="2:18" ht="14.25" customHeight="1" x14ac:dyDescent="0.35">
      <c r="B72" s="35" t="str">
        <f t="shared" si="4"/>
        <v>201010000567Jpe</v>
      </c>
      <c r="C72" s="35" t="s">
        <v>248</v>
      </c>
      <c r="D72" s="35" t="s">
        <v>237</v>
      </c>
      <c r="E72" s="36">
        <v>201010000567</v>
      </c>
      <c r="F72" s="36">
        <v>201010000567</v>
      </c>
      <c r="G72" s="35" t="s">
        <v>50</v>
      </c>
      <c r="H72" s="35" t="s">
        <v>306</v>
      </c>
      <c r="I72" s="35" t="s">
        <v>272</v>
      </c>
      <c r="J72" s="35" t="s">
        <v>13</v>
      </c>
      <c r="K72" s="37">
        <v>123</v>
      </c>
      <c r="L72" s="38">
        <v>8.8683887650122593</v>
      </c>
      <c r="M72" s="38">
        <f t="shared" si="5"/>
        <v>13.869486696981756</v>
      </c>
      <c r="N72" s="36">
        <v>17</v>
      </c>
      <c r="O72" s="39">
        <f t="shared" si="6"/>
        <v>13.869486696981756</v>
      </c>
      <c r="P72" s="37">
        <f t="shared" si="7"/>
        <v>123</v>
      </c>
      <c r="Q72" s="40" t="str">
        <f>IF(ISERROR(I72),"",IF(I72="","",IF(COUNTIF($I$3:I72,I72)&gt;1,"",IFERROR(SUMIFS(Base!$P$3:$P$980,Base!$I$3:$I$980,I72)/SUMIFS(Base!$L$3:$L$980,Base!$I$3:$I$980,I72),0)+ROW()/1000000)))</f>
        <v/>
      </c>
      <c r="R72" s="40" t="str">
        <f>IF(ISERROR(G72),"",IF(G72="","",IF(COUNTIF($G$3:G72,G72)&gt;1,"",IFERROR(SUMIFS(Base!$P$3:$P$980,Base!$G$3:$G$980,G72)/SUMIFS(Base!$L$3:$L$980,Base!$G$3:$G$980,G72),0)+ROW()/1000000)))</f>
        <v/>
      </c>
    </row>
    <row r="73" spans="2:18" ht="14.25" customHeight="1" x14ac:dyDescent="0.35">
      <c r="B73" s="35" t="str">
        <f t="shared" si="4"/>
        <v>221000000617Ara</v>
      </c>
      <c r="C73" s="35" t="s">
        <v>248</v>
      </c>
      <c r="D73" s="35" t="s">
        <v>249</v>
      </c>
      <c r="E73" s="36">
        <v>221000000617</v>
      </c>
      <c r="F73" s="36">
        <v>221000000617</v>
      </c>
      <c r="G73" s="35" t="s">
        <v>65</v>
      </c>
      <c r="H73" s="35" t="s">
        <v>307</v>
      </c>
      <c r="I73" s="35" t="s">
        <v>290</v>
      </c>
      <c r="J73" s="35" t="s">
        <v>12</v>
      </c>
      <c r="K73" s="37">
        <v>176</v>
      </c>
      <c r="L73" s="38">
        <v>8.2779532175285002</v>
      </c>
      <c r="M73" s="38">
        <f t="shared" si="5"/>
        <v>21.261294353212989</v>
      </c>
      <c r="N73" s="36">
        <v>20.705633802816902</v>
      </c>
      <c r="O73" s="39">
        <f t="shared" si="6"/>
        <v>20.705633802816902</v>
      </c>
      <c r="P73" s="37">
        <f t="shared" si="7"/>
        <v>171.40026795899504</v>
      </c>
      <c r="Q73" s="40" t="str">
        <f>IF(ISERROR(I73),"",IF(I73="","",IF(COUNTIF($I$3:I73,I73)&gt;1,"",IFERROR(SUMIFS(Base!$P$3:$P$980,Base!$I$3:$I$980,I73)/SUMIFS(Base!$L$3:$L$980,Base!$I$3:$I$980,I73),0)+ROW()/1000000)))</f>
        <v/>
      </c>
      <c r="R73" s="40" t="str">
        <f>IF(ISERROR(G73),"",IF(G73="","",IF(COUNTIF($G$3:G73,G73)&gt;1,"",IFERROR(SUMIFS(Base!$P$3:$P$980,Base!$G$3:$G$980,G73)/SUMIFS(Base!$L$3:$L$980,Base!$G$3:$G$980,G73),0)+ROW()/1000000)))</f>
        <v/>
      </c>
    </row>
    <row r="74" spans="2:18" ht="14.25" customHeight="1" x14ac:dyDescent="0.35">
      <c r="B74" s="35" t="str">
        <f t="shared" si="4"/>
        <v>221000000617Jpe</v>
      </c>
      <c r="C74" s="35" t="s">
        <v>248</v>
      </c>
      <c r="D74" s="35" t="s">
        <v>249</v>
      </c>
      <c r="E74" s="36">
        <v>221000000617</v>
      </c>
      <c r="F74" s="36">
        <v>221000000617</v>
      </c>
      <c r="G74" s="35" t="s">
        <v>65</v>
      </c>
      <c r="H74" s="35" t="s">
        <v>307</v>
      </c>
      <c r="I74" s="35" t="s">
        <v>290</v>
      </c>
      <c r="J74" s="35" t="s">
        <v>13</v>
      </c>
      <c r="K74" s="37">
        <v>18</v>
      </c>
      <c r="L74" s="38">
        <v>7.5126474656056397</v>
      </c>
      <c r="M74" s="38">
        <f t="shared" si="5"/>
        <v>2.3959596244077068</v>
      </c>
      <c r="N74" s="36">
        <v>18</v>
      </c>
      <c r="O74" s="39">
        <f t="shared" si="6"/>
        <v>2.3959596244077068</v>
      </c>
      <c r="P74" s="37">
        <f t="shared" si="7"/>
        <v>18</v>
      </c>
      <c r="Q74" s="40" t="str">
        <f>IF(ISERROR(I74),"",IF(I74="","",IF(COUNTIF($I$3:I74,I74)&gt;1,"",IFERROR(SUMIFS(Base!$P$3:$P$980,Base!$I$3:$I$980,I74)/SUMIFS(Base!$L$3:$L$980,Base!$I$3:$I$980,I74),0)+ROW()/1000000)))</f>
        <v/>
      </c>
      <c r="R74" s="40" t="str">
        <f>IF(ISERROR(G74),"",IF(G74="","",IF(COUNTIF($G$3:G74,G74)&gt;1,"",IFERROR(SUMIFS(Base!$P$3:$P$980,Base!$G$3:$G$980,G74)/SUMIFS(Base!$L$3:$L$980,Base!$G$3:$G$980,G74),0)+ROW()/1000000)))</f>
        <v/>
      </c>
    </row>
    <row r="75" spans="2:18" ht="14.25" customHeight="1" x14ac:dyDescent="0.35">
      <c r="B75" s="35" t="str">
        <f t="shared" si="4"/>
        <v>201030000264Ara</v>
      </c>
      <c r="C75" s="35" t="s">
        <v>248</v>
      </c>
      <c r="D75" s="35" t="s">
        <v>249</v>
      </c>
      <c r="E75" s="36">
        <v>201030000264</v>
      </c>
      <c r="F75" s="36">
        <v>201030000268</v>
      </c>
      <c r="G75" s="35" t="s">
        <v>65</v>
      </c>
      <c r="H75" s="35" t="s">
        <v>308</v>
      </c>
      <c r="I75" s="35" t="s">
        <v>268</v>
      </c>
      <c r="J75" s="35" t="s">
        <v>12</v>
      </c>
      <c r="K75" s="37">
        <v>158</v>
      </c>
      <c r="L75" s="38">
        <v>8.1963833870967804</v>
      </c>
      <c r="M75" s="38">
        <f t="shared" si="5"/>
        <v>19.276794720063084</v>
      </c>
      <c r="N75" s="36">
        <v>15</v>
      </c>
      <c r="O75" s="39">
        <f t="shared" si="6"/>
        <v>15</v>
      </c>
      <c r="P75" s="37">
        <f t="shared" si="7"/>
        <v>122.94575080645171</v>
      </c>
      <c r="Q75" s="40" t="str">
        <f>IF(ISERROR(I75),"",IF(I75="","",IF(COUNTIF($I$3:I75,I75)&gt;1,"",IFERROR(SUMIFS(Base!$P$3:$P$980,Base!$I$3:$I$980,I75)/SUMIFS(Base!$L$3:$L$980,Base!$I$3:$I$980,I75),0)+ROW()/1000000)))</f>
        <v/>
      </c>
      <c r="R75" s="40" t="str">
        <f>IF(ISERROR(G75),"",IF(G75="","",IF(COUNTIF($G$3:G75,G75)&gt;1,"",IFERROR(SUMIFS(Base!$P$3:$P$980,Base!$G$3:$G$980,G75)/SUMIFS(Base!$L$3:$L$980,Base!$G$3:$G$980,G75),0)+ROW()/1000000)))</f>
        <v/>
      </c>
    </row>
    <row r="76" spans="2:18" ht="14.25" customHeight="1" x14ac:dyDescent="0.35">
      <c r="B76" s="35" t="str">
        <f t="shared" si="4"/>
        <v>201030000264Jpe</v>
      </c>
      <c r="C76" s="35" t="s">
        <v>248</v>
      </c>
      <c r="D76" s="35" t="s">
        <v>249</v>
      </c>
      <c r="E76" s="36">
        <v>201030000264</v>
      </c>
      <c r="F76" s="36">
        <v>201030000268</v>
      </c>
      <c r="G76" s="35" t="s">
        <v>65</v>
      </c>
      <c r="H76" s="35" t="s">
        <v>308</v>
      </c>
      <c r="I76" s="35" t="s">
        <v>268</v>
      </c>
      <c r="J76" s="35" t="s">
        <v>13</v>
      </c>
      <c r="K76" s="37">
        <v>1</v>
      </c>
      <c r="L76" s="38">
        <v>6.1483519354838698</v>
      </c>
      <c r="M76" s="38">
        <f t="shared" si="5"/>
        <v>0.16264521134984458</v>
      </c>
      <c r="N76" s="36">
        <v>15</v>
      </c>
      <c r="O76" s="39">
        <f t="shared" si="6"/>
        <v>0.16264521134984458</v>
      </c>
      <c r="P76" s="37">
        <f t="shared" si="7"/>
        <v>1</v>
      </c>
      <c r="Q76" s="40" t="str">
        <f>IF(ISERROR(I76),"",IF(I76="","",IF(COUNTIF($I$3:I76,I76)&gt;1,"",IFERROR(SUMIFS(Base!$P$3:$P$980,Base!$I$3:$I$980,I76)/SUMIFS(Base!$L$3:$L$980,Base!$I$3:$I$980,I76),0)+ROW()/1000000)))</f>
        <v/>
      </c>
      <c r="R76" s="40" t="str">
        <f>IF(ISERROR(G76),"",IF(G76="","",IF(COUNTIF($G$3:G76,G76)&gt;1,"",IFERROR(SUMIFS(Base!$P$3:$P$980,Base!$G$3:$G$980,G76)/SUMIFS(Base!$L$3:$L$980,Base!$G$3:$G$980,G76),0)+ROW()/1000000)))</f>
        <v/>
      </c>
    </row>
    <row r="77" spans="2:18" ht="14.25" customHeight="1" x14ac:dyDescent="0.35">
      <c r="B77" s="35" t="str">
        <f t="shared" si="4"/>
        <v>201010000402Ara</v>
      </c>
      <c r="C77" s="35" t="s">
        <v>248</v>
      </c>
      <c r="D77" s="35" t="s">
        <v>249</v>
      </c>
      <c r="E77" s="36">
        <v>201010000402</v>
      </c>
      <c r="F77" s="36">
        <v>201010000402</v>
      </c>
      <c r="G77" s="35" t="s">
        <v>36</v>
      </c>
      <c r="H77" s="35" t="s">
        <v>309</v>
      </c>
      <c r="I77" s="35" t="s">
        <v>310</v>
      </c>
      <c r="J77" s="35" t="s">
        <v>12</v>
      </c>
      <c r="K77" s="37">
        <v>451</v>
      </c>
      <c r="L77" s="38">
        <v>17.5035918012092</v>
      </c>
      <c r="M77" s="38">
        <f t="shared" si="5"/>
        <v>25.766140179802616</v>
      </c>
      <c r="N77" s="36">
        <v>16.148955091151599</v>
      </c>
      <c r="O77" s="39">
        <f t="shared" si="6"/>
        <v>16.148955091151599</v>
      </c>
      <c r="P77" s="37">
        <f t="shared" si="7"/>
        <v>282.66471793157672</v>
      </c>
      <c r="Q77" s="40">
        <f>IF(ISERROR(I77),"",IF(I77="","",IF(COUNTIF($I$3:I77,I77)&gt;1,"",IFERROR(SUMIFS(Base!$P$3:$P$980,Base!$I$3:$I$980,I77)/SUMIFS(Base!$L$3:$L$980,Base!$I$3:$I$980,I77),0)+ROW()/1000000)))</f>
        <v>15.804300776837097</v>
      </c>
      <c r="R77" s="40" t="str">
        <f>IF(ISERROR(G77),"",IF(G77="","",IF(COUNTIF($G$3:G77,G77)&gt;1,"",IFERROR(SUMIFS(Base!$P$3:$P$980,Base!$G$3:$G$980,G77)/SUMIFS(Base!$L$3:$L$980,Base!$G$3:$G$980,G77),0)+ROW()/1000000)))</f>
        <v/>
      </c>
    </row>
    <row r="78" spans="2:18" ht="14.25" customHeight="1" x14ac:dyDescent="0.35">
      <c r="B78" s="35" t="str">
        <f t="shared" si="4"/>
        <v>201010000402Jpe</v>
      </c>
      <c r="C78" s="35" t="s">
        <v>248</v>
      </c>
      <c r="D78" s="35" t="s">
        <v>249</v>
      </c>
      <c r="E78" s="36">
        <v>201010000402</v>
      </c>
      <c r="F78" s="36">
        <v>201010000402</v>
      </c>
      <c r="G78" s="35" t="s">
        <v>36</v>
      </c>
      <c r="H78" s="35" t="s">
        <v>309</v>
      </c>
      <c r="I78" s="35" t="s">
        <v>310</v>
      </c>
      <c r="J78" s="35" t="s">
        <v>13</v>
      </c>
      <c r="K78" s="37">
        <v>200</v>
      </c>
      <c r="L78" s="38">
        <v>7.5029318712590198</v>
      </c>
      <c r="M78" s="38">
        <f t="shared" si="5"/>
        <v>26.656246309009767</v>
      </c>
      <c r="N78" s="36">
        <v>15</v>
      </c>
      <c r="O78" s="39">
        <f t="shared" si="6"/>
        <v>15</v>
      </c>
      <c r="P78" s="37">
        <f t="shared" si="7"/>
        <v>112.54397806888529</v>
      </c>
      <c r="Q78" s="40" t="str">
        <f>IF(ISERROR(I78),"",IF(I78="","",IF(COUNTIF($I$3:I78,I78)&gt;1,"",IFERROR(SUMIFS(Base!$P$3:$P$980,Base!$I$3:$I$980,I78)/SUMIFS(Base!$L$3:$L$980,Base!$I$3:$I$980,I78),0)+ROW()/1000000)))</f>
        <v/>
      </c>
      <c r="R78" s="40" t="str">
        <f>IF(ISERROR(G78),"",IF(G78="","",IF(COUNTIF($G$3:G78,G78)&gt;1,"",IFERROR(SUMIFS(Base!$P$3:$P$980,Base!$G$3:$G$980,G78)/SUMIFS(Base!$L$3:$L$980,Base!$G$3:$G$980,G78),0)+ROW()/1000000)))</f>
        <v/>
      </c>
    </row>
    <row r="79" spans="2:18" ht="14.25" customHeight="1" x14ac:dyDescent="0.35">
      <c r="B79" s="35" t="str">
        <f t="shared" si="4"/>
        <v>201030000125Ara</v>
      </c>
      <c r="C79" s="35" t="s">
        <v>248</v>
      </c>
      <c r="D79" s="35" t="s">
        <v>249</v>
      </c>
      <c r="E79" s="36">
        <v>201030000125</v>
      </c>
      <c r="F79" s="36">
        <v>201030000125</v>
      </c>
      <c r="G79" s="35" t="s">
        <v>65</v>
      </c>
      <c r="H79" s="35" t="s">
        <v>311</v>
      </c>
      <c r="I79" s="35" t="s">
        <v>312</v>
      </c>
      <c r="J79" s="35" t="s">
        <v>12</v>
      </c>
      <c r="K79" s="37">
        <v>0</v>
      </c>
      <c r="L79" s="38">
        <v>8.8935356395333702</v>
      </c>
      <c r="M79" s="38">
        <f t="shared" si="5"/>
        <v>0</v>
      </c>
      <c r="N79" s="36">
        <v>19.2158836689038</v>
      </c>
      <c r="O79" s="39">
        <f t="shared" si="6"/>
        <v>0</v>
      </c>
      <c r="P79" s="37">
        <f t="shared" si="7"/>
        <v>0</v>
      </c>
      <c r="Q79" s="40">
        <f>IF(ISERROR(I79),"",IF(I79="","",IF(COUNTIF($I$3:I79,I79)&gt;1,"",IFERROR(SUMIFS(Base!$P$3:$P$980,Base!$I$3:$I$980,I79)/SUMIFS(Base!$L$3:$L$980,Base!$I$3:$I$980,I79),0)+ROW()/1000000)))</f>
        <v>13.368462254718368</v>
      </c>
      <c r="R79" s="40" t="str">
        <f>IF(ISERROR(G79),"",IF(G79="","",IF(COUNTIF($G$3:G79,G79)&gt;1,"",IFERROR(SUMIFS(Base!$P$3:$P$980,Base!$G$3:$G$980,G79)/SUMIFS(Base!$L$3:$L$980,Base!$G$3:$G$980,G79),0)+ROW()/1000000)))</f>
        <v/>
      </c>
    </row>
    <row r="80" spans="2:18" ht="14.25" customHeight="1" x14ac:dyDescent="0.35">
      <c r="B80" s="35" t="str">
        <f t="shared" si="4"/>
        <v>201030000125Jpe</v>
      </c>
      <c r="C80" s="35" t="s">
        <v>248</v>
      </c>
      <c r="D80" s="35" t="s">
        <v>249</v>
      </c>
      <c r="E80" s="36">
        <v>201030000125</v>
      </c>
      <c r="F80" s="36">
        <v>201030000125</v>
      </c>
      <c r="G80" s="35" t="s">
        <v>65</v>
      </c>
      <c r="H80" s="35" t="s">
        <v>311</v>
      </c>
      <c r="I80" s="35" t="s">
        <v>312</v>
      </c>
      <c r="J80" s="35" t="s">
        <v>13</v>
      </c>
      <c r="K80" s="37">
        <v>-4</v>
      </c>
      <c r="L80" s="38">
        <v>4.8466269469909804</v>
      </c>
      <c r="M80" s="38">
        <f t="shared" si="5"/>
        <v>-0.82531625473740922</v>
      </c>
      <c r="N80" s="36">
        <v>22</v>
      </c>
      <c r="O80" s="39">
        <f t="shared" si="6"/>
        <v>-0.82531625473740922</v>
      </c>
      <c r="P80" s="37">
        <f t="shared" si="7"/>
        <v>-4</v>
      </c>
      <c r="Q80" s="40" t="str">
        <f>IF(ISERROR(I80),"",IF(I80="","",IF(COUNTIF($I$3:I80,I80)&gt;1,"",IFERROR(SUMIFS(Base!$P$3:$P$980,Base!$I$3:$I$980,I80)/SUMIFS(Base!$L$3:$L$980,Base!$I$3:$I$980,I80),0)+ROW()/1000000)))</f>
        <v/>
      </c>
      <c r="R80" s="40" t="str">
        <f>IF(ISERROR(G80),"",IF(G80="","",IF(COUNTIF($G$3:G80,G80)&gt;1,"",IFERROR(SUMIFS(Base!$P$3:$P$980,Base!$G$3:$G$980,G80)/SUMIFS(Base!$L$3:$L$980,Base!$G$3:$G$980,G80),0)+ROW()/1000000)))</f>
        <v/>
      </c>
    </row>
    <row r="81" spans="2:18" ht="14.25" customHeight="1" x14ac:dyDescent="0.35">
      <c r="B81" s="35" t="str">
        <f t="shared" si="4"/>
        <v>201010000616Ara</v>
      </c>
      <c r="C81" s="35" t="s">
        <v>248</v>
      </c>
      <c r="D81" s="35" t="s">
        <v>249</v>
      </c>
      <c r="E81" s="36">
        <v>201010000616</v>
      </c>
      <c r="F81" s="36">
        <v>201010000616</v>
      </c>
      <c r="G81" s="35" t="s">
        <v>50</v>
      </c>
      <c r="H81" s="35" t="s">
        <v>313</v>
      </c>
      <c r="I81" s="35" t="s">
        <v>272</v>
      </c>
      <c r="J81" s="35" t="s">
        <v>12</v>
      </c>
      <c r="K81" s="37">
        <v>452</v>
      </c>
      <c r="L81" s="38">
        <v>14.1649256055858</v>
      </c>
      <c r="M81" s="38">
        <f t="shared" si="5"/>
        <v>31.909804017732235</v>
      </c>
      <c r="N81" s="36">
        <v>17.795143212951398</v>
      </c>
      <c r="O81" s="39">
        <f t="shared" si="6"/>
        <v>17.795143212951398</v>
      </c>
      <c r="P81" s="37">
        <f t="shared" si="7"/>
        <v>252.06687975220163</v>
      </c>
      <c r="Q81" s="40" t="str">
        <f>IF(ISERROR(I81),"",IF(I81="","",IF(COUNTIF($I$3:I81,I81)&gt;1,"",IFERROR(SUMIFS(Base!$P$3:$P$980,Base!$I$3:$I$980,I81)/SUMIFS(Base!$L$3:$L$980,Base!$I$3:$I$980,I81),0)+ROW()/1000000)))</f>
        <v/>
      </c>
      <c r="R81" s="40" t="str">
        <f>IF(ISERROR(G81),"",IF(G81="","",IF(COUNTIF($G$3:G81,G81)&gt;1,"",IFERROR(SUMIFS(Base!$P$3:$P$980,Base!$G$3:$G$980,G81)/SUMIFS(Base!$L$3:$L$980,Base!$G$3:$G$980,G81),0)+ROW()/1000000)))</f>
        <v/>
      </c>
    </row>
    <row r="82" spans="2:18" ht="14.25" customHeight="1" x14ac:dyDescent="0.35">
      <c r="B82" s="35" t="str">
        <f t="shared" si="4"/>
        <v>201010000616Jpe</v>
      </c>
      <c r="C82" s="35" t="s">
        <v>248</v>
      </c>
      <c r="D82" s="35" t="s">
        <v>249</v>
      </c>
      <c r="E82" s="36">
        <v>201010000616</v>
      </c>
      <c r="F82" s="36">
        <v>201010000616</v>
      </c>
      <c r="G82" s="35" t="s">
        <v>50</v>
      </c>
      <c r="H82" s="35" t="s">
        <v>313</v>
      </c>
      <c r="I82" s="35" t="s">
        <v>272</v>
      </c>
      <c r="J82" s="35" t="s">
        <v>13</v>
      </c>
      <c r="K82" s="37">
        <v>126</v>
      </c>
      <c r="L82" s="38">
        <v>9.33048784670126</v>
      </c>
      <c r="M82" s="38">
        <f t="shared" si="5"/>
        <v>13.504117048343465</v>
      </c>
      <c r="N82" s="36">
        <v>14</v>
      </c>
      <c r="O82" s="39">
        <f t="shared" si="6"/>
        <v>13.504117048343465</v>
      </c>
      <c r="P82" s="37">
        <f t="shared" si="7"/>
        <v>125.99999999999999</v>
      </c>
      <c r="Q82" s="40" t="str">
        <f>IF(ISERROR(I82),"",IF(I82="","",IF(COUNTIF($I$3:I82,I82)&gt;1,"",IFERROR(SUMIFS(Base!$P$3:$P$980,Base!$I$3:$I$980,I82)/SUMIFS(Base!$L$3:$L$980,Base!$I$3:$I$980,I82),0)+ROW()/1000000)))</f>
        <v/>
      </c>
      <c r="R82" s="40" t="str">
        <f>IF(ISERROR(G82),"",IF(G82="","",IF(COUNTIF($G$3:G82,G82)&gt;1,"",IFERROR(SUMIFS(Base!$P$3:$P$980,Base!$G$3:$G$980,G82)/SUMIFS(Base!$L$3:$L$980,Base!$G$3:$G$980,G82),0)+ROW()/1000000)))</f>
        <v/>
      </c>
    </row>
    <row r="83" spans="2:18" ht="14.25" customHeight="1" x14ac:dyDescent="0.35">
      <c r="B83" s="35" t="str">
        <f t="shared" si="4"/>
        <v>201010000638Ara</v>
      </c>
      <c r="C83" s="35" t="s">
        <v>248</v>
      </c>
      <c r="D83" s="35" t="s">
        <v>249</v>
      </c>
      <c r="E83" s="36">
        <v>201010000638</v>
      </c>
      <c r="F83" s="36">
        <v>201010000638</v>
      </c>
      <c r="G83" s="35" t="s">
        <v>115</v>
      </c>
      <c r="H83" s="35" t="s">
        <v>314</v>
      </c>
      <c r="I83" s="35" t="s">
        <v>315</v>
      </c>
      <c r="J83" s="35" t="s">
        <v>12</v>
      </c>
      <c r="K83" s="37">
        <v>293</v>
      </c>
      <c r="L83" s="38">
        <v>25.099172252164401</v>
      </c>
      <c r="M83" s="38">
        <f t="shared" si="5"/>
        <v>11.673691747931386</v>
      </c>
      <c r="N83" s="36">
        <v>19</v>
      </c>
      <c r="O83" s="39">
        <f t="shared" si="6"/>
        <v>11.673691747931386</v>
      </c>
      <c r="P83" s="37">
        <f t="shared" si="7"/>
        <v>293</v>
      </c>
      <c r="Q83" s="40">
        <f>IF(ISERROR(I83),"",IF(I83="","",IF(COUNTIF($I$3:I83,I83)&gt;1,"",IFERROR(SUMIFS(Base!$P$3:$P$980,Base!$I$3:$I$980,I83)/SUMIFS(Base!$L$3:$L$980,Base!$I$3:$I$980,I83),0)+ROW()/1000000)))</f>
        <v>13.473627729115428</v>
      </c>
      <c r="R83" s="40" t="str">
        <f>IF(ISERROR(G83),"",IF(G83="","",IF(COUNTIF($G$3:G83,G83)&gt;1,"",IFERROR(SUMIFS(Base!$P$3:$P$980,Base!$G$3:$G$980,G83)/SUMIFS(Base!$L$3:$L$980,Base!$G$3:$G$980,G83),0)+ROW()/1000000)))</f>
        <v/>
      </c>
    </row>
    <row r="84" spans="2:18" ht="14.25" customHeight="1" x14ac:dyDescent="0.35">
      <c r="B84" s="35" t="str">
        <f t="shared" si="4"/>
        <v>201010000638Jpe</v>
      </c>
      <c r="C84" s="35" t="s">
        <v>248</v>
      </c>
      <c r="D84" s="35" t="s">
        <v>249</v>
      </c>
      <c r="E84" s="36">
        <v>201010000638</v>
      </c>
      <c r="F84" s="36">
        <v>201010000638</v>
      </c>
      <c r="G84" s="35" t="s">
        <v>115</v>
      </c>
      <c r="H84" s="35" t="s">
        <v>314</v>
      </c>
      <c r="I84" s="35" t="s">
        <v>315</v>
      </c>
      <c r="J84" s="35" t="s">
        <v>13</v>
      </c>
      <c r="K84" s="37">
        <v>815</v>
      </c>
      <c r="L84" s="38">
        <v>17.8807123656272</v>
      </c>
      <c r="M84" s="38">
        <f t="shared" si="5"/>
        <v>45.57983951280972</v>
      </c>
      <c r="N84" s="36">
        <v>16</v>
      </c>
      <c r="O84" s="39">
        <f t="shared" si="6"/>
        <v>16</v>
      </c>
      <c r="P84" s="37">
        <f t="shared" si="7"/>
        <v>286.09139785003521</v>
      </c>
      <c r="Q84" s="40" t="str">
        <f>IF(ISERROR(I84),"",IF(I84="","",IF(COUNTIF($I$3:I84,I84)&gt;1,"",IFERROR(SUMIFS(Base!$P$3:$P$980,Base!$I$3:$I$980,I84)/SUMIFS(Base!$L$3:$L$980,Base!$I$3:$I$980,I84),0)+ROW()/1000000)))</f>
        <v/>
      </c>
      <c r="R84" s="40" t="str">
        <f>IF(ISERROR(G84),"",IF(G84="","",IF(COUNTIF($G$3:G84,G84)&gt;1,"",IFERROR(SUMIFS(Base!$P$3:$P$980,Base!$G$3:$G$980,G84)/SUMIFS(Base!$L$3:$L$980,Base!$G$3:$G$980,G84),0)+ROW()/1000000)))</f>
        <v/>
      </c>
    </row>
    <row r="85" spans="2:18" ht="14.25" customHeight="1" x14ac:dyDescent="0.35">
      <c r="B85" s="35" t="str">
        <f t="shared" si="4"/>
        <v>201030000304Ara</v>
      </c>
      <c r="C85" s="35" t="s">
        <v>248</v>
      </c>
      <c r="D85" s="35" t="s">
        <v>249</v>
      </c>
      <c r="E85" s="36">
        <v>201030000304</v>
      </c>
      <c r="F85" s="36">
        <v>201030000304</v>
      </c>
      <c r="G85" s="35" t="s">
        <v>65</v>
      </c>
      <c r="H85" s="35" t="s">
        <v>316</v>
      </c>
      <c r="I85" s="35" t="s">
        <v>268</v>
      </c>
      <c r="J85" s="35" t="s">
        <v>12</v>
      </c>
      <c r="K85" s="37">
        <v>239</v>
      </c>
      <c r="L85" s="38">
        <v>14.9046731442705</v>
      </c>
      <c r="M85" s="38">
        <f t="shared" si="5"/>
        <v>16.03523926265192</v>
      </c>
      <c r="N85" s="36">
        <v>18.835398230088501</v>
      </c>
      <c r="O85" s="39">
        <f t="shared" si="6"/>
        <v>16.03523926265192</v>
      </c>
      <c r="P85" s="37">
        <f t="shared" si="7"/>
        <v>238.99999999999997</v>
      </c>
      <c r="Q85" s="40" t="str">
        <f>IF(ISERROR(I85),"",IF(I85="","",IF(COUNTIF($I$3:I85,I85)&gt;1,"",IFERROR(SUMIFS(Base!$P$3:$P$980,Base!$I$3:$I$980,I85)/SUMIFS(Base!$L$3:$L$980,Base!$I$3:$I$980,I85),0)+ROW()/1000000)))</f>
        <v/>
      </c>
      <c r="R85" s="40" t="str">
        <f>IF(ISERROR(G85),"",IF(G85="","",IF(COUNTIF($G$3:G85,G85)&gt;1,"",IFERROR(SUMIFS(Base!$P$3:$P$980,Base!$G$3:$G$980,G85)/SUMIFS(Base!$L$3:$L$980,Base!$G$3:$G$980,G85),0)+ROW()/1000000)))</f>
        <v/>
      </c>
    </row>
    <row r="86" spans="2:18" ht="14.25" customHeight="1" x14ac:dyDescent="0.35">
      <c r="B86" s="35" t="str">
        <f t="shared" si="4"/>
        <v>201030000304Jpe</v>
      </c>
      <c r="C86" s="35" t="s">
        <v>248</v>
      </c>
      <c r="D86" s="35" t="s">
        <v>249</v>
      </c>
      <c r="E86" s="36">
        <v>201030000304</v>
      </c>
      <c r="F86" s="36">
        <v>201030000304</v>
      </c>
      <c r="G86" s="35" t="s">
        <v>65</v>
      </c>
      <c r="H86" s="35" t="s">
        <v>316</v>
      </c>
      <c r="I86" s="35" t="s">
        <v>268</v>
      </c>
      <c r="J86" s="35" t="s">
        <v>13</v>
      </c>
      <c r="K86" s="37">
        <v>104</v>
      </c>
      <c r="L86" s="38">
        <v>10.852233385301499</v>
      </c>
      <c r="M86" s="38">
        <f t="shared" si="5"/>
        <v>9.5832808148836772</v>
      </c>
      <c r="N86" s="36">
        <v>16</v>
      </c>
      <c r="O86" s="39">
        <f t="shared" si="6"/>
        <v>9.5832808148836772</v>
      </c>
      <c r="P86" s="37">
        <f t="shared" si="7"/>
        <v>104</v>
      </c>
      <c r="Q86" s="40" t="str">
        <f>IF(ISERROR(I86),"",IF(I86="","",IF(COUNTIF($I$3:I86,I86)&gt;1,"",IFERROR(SUMIFS(Base!$P$3:$P$980,Base!$I$3:$I$980,I86)/SUMIFS(Base!$L$3:$L$980,Base!$I$3:$I$980,I86),0)+ROW()/1000000)))</f>
        <v/>
      </c>
      <c r="R86" s="40" t="str">
        <f>IF(ISERROR(G86),"",IF(G86="","",IF(COUNTIF($G$3:G86,G86)&gt;1,"",IFERROR(SUMIFS(Base!$P$3:$P$980,Base!$G$3:$G$980,G86)/SUMIFS(Base!$L$3:$L$980,Base!$G$3:$G$980,G86),0)+ROW()/1000000)))</f>
        <v/>
      </c>
    </row>
    <row r="87" spans="2:18" ht="14.25" customHeight="1" x14ac:dyDescent="0.35">
      <c r="B87" s="35" t="str">
        <f t="shared" si="4"/>
        <v>201030000480Ara</v>
      </c>
      <c r="C87" s="35" t="s">
        <v>248</v>
      </c>
      <c r="D87" s="35" t="s">
        <v>249</v>
      </c>
      <c r="E87" s="36">
        <v>201030000480</v>
      </c>
      <c r="F87" s="36">
        <v>221000000977</v>
      </c>
      <c r="G87" s="35" t="s">
        <v>65</v>
      </c>
      <c r="H87" s="35" t="s">
        <v>317</v>
      </c>
      <c r="I87" s="35" t="s">
        <v>298</v>
      </c>
      <c r="J87" s="35" t="s">
        <v>12</v>
      </c>
      <c r="K87" s="37">
        <v>-11</v>
      </c>
      <c r="L87" s="38">
        <v>18.824554243548398</v>
      </c>
      <c r="M87" s="38">
        <f t="shared" si="5"/>
        <v>-0.58434318590943257</v>
      </c>
      <c r="N87" s="36">
        <v>24.307775965198498</v>
      </c>
      <c r="O87" s="39">
        <f t="shared" si="6"/>
        <v>-0.58434318590943257</v>
      </c>
      <c r="P87" s="37">
        <f t="shared" si="7"/>
        <v>-11</v>
      </c>
      <c r="Q87" s="40" t="str">
        <f>IF(ISERROR(I87),"",IF(I87="","",IF(COUNTIF($I$3:I87,I87)&gt;1,"",IFERROR(SUMIFS(Base!$P$3:$P$980,Base!$I$3:$I$980,I87)/SUMIFS(Base!$L$3:$L$980,Base!$I$3:$I$980,I87),0)+ROW()/1000000)))</f>
        <v/>
      </c>
      <c r="R87" s="40" t="str">
        <f>IF(ISERROR(G87),"",IF(G87="","",IF(COUNTIF($G$3:G87,G87)&gt;1,"",IFERROR(SUMIFS(Base!$P$3:$P$980,Base!$G$3:$G$980,G87)/SUMIFS(Base!$L$3:$L$980,Base!$G$3:$G$980,G87),0)+ROW()/1000000)))</f>
        <v/>
      </c>
    </row>
    <row r="88" spans="2:18" ht="14.25" customHeight="1" x14ac:dyDescent="0.35">
      <c r="B88" s="35" t="str">
        <f t="shared" si="4"/>
        <v>201030000480Jpe</v>
      </c>
      <c r="C88" s="35" t="s">
        <v>248</v>
      </c>
      <c r="D88" s="35" t="s">
        <v>249</v>
      </c>
      <c r="E88" s="36">
        <v>201030000480</v>
      </c>
      <c r="F88" s="36">
        <v>221000000977</v>
      </c>
      <c r="G88" s="35" t="s">
        <v>65</v>
      </c>
      <c r="H88" s="35" t="s">
        <v>317</v>
      </c>
      <c r="I88" s="35" t="s">
        <v>298</v>
      </c>
      <c r="J88" s="35" t="s">
        <v>13</v>
      </c>
      <c r="K88" s="37">
        <v>101</v>
      </c>
      <c r="L88" s="38">
        <v>13.3356974951613</v>
      </c>
      <c r="M88" s="38">
        <f t="shared" si="5"/>
        <v>7.5736570986741905</v>
      </c>
      <c r="N88" s="36">
        <v>18</v>
      </c>
      <c r="O88" s="39">
        <f t="shared" si="6"/>
        <v>7.5736570986741905</v>
      </c>
      <c r="P88" s="37">
        <f t="shared" si="7"/>
        <v>101</v>
      </c>
      <c r="Q88" s="40" t="str">
        <f>IF(ISERROR(I88),"",IF(I88="","",IF(COUNTIF($I$3:I88,I88)&gt;1,"",IFERROR(SUMIFS(Base!$P$3:$P$980,Base!$I$3:$I$980,I88)/SUMIFS(Base!$L$3:$L$980,Base!$I$3:$I$980,I88),0)+ROW()/1000000)))</f>
        <v/>
      </c>
      <c r="R88" s="40" t="str">
        <f>IF(ISERROR(G88),"",IF(G88="","",IF(COUNTIF($G$3:G88,G88)&gt;1,"",IFERROR(SUMIFS(Base!$P$3:$P$980,Base!$G$3:$G$980,G88)/SUMIFS(Base!$L$3:$L$980,Base!$G$3:$G$980,G88),0)+ROW()/1000000)))</f>
        <v/>
      </c>
    </row>
    <row r="89" spans="2:18" ht="14.25" customHeight="1" x14ac:dyDescent="0.35">
      <c r="B89" s="35" t="str">
        <f t="shared" si="4"/>
        <v>221000000615Ara</v>
      </c>
      <c r="C89" s="35" t="s">
        <v>248</v>
      </c>
      <c r="D89" s="35" t="s">
        <v>249</v>
      </c>
      <c r="E89" s="36">
        <v>221000000615</v>
      </c>
      <c r="F89" s="36">
        <v>221000000615</v>
      </c>
      <c r="G89" s="35" t="s">
        <v>65</v>
      </c>
      <c r="H89" s="35" t="s">
        <v>318</v>
      </c>
      <c r="I89" s="35" t="s">
        <v>290</v>
      </c>
      <c r="J89" s="35" t="s">
        <v>12</v>
      </c>
      <c r="K89" s="37">
        <v>499</v>
      </c>
      <c r="L89" s="38">
        <v>7.2107421970904202</v>
      </c>
      <c r="M89" s="38">
        <f t="shared" si="5"/>
        <v>69.202307662774246</v>
      </c>
      <c r="N89" s="36">
        <v>18.653879686137799</v>
      </c>
      <c r="O89" s="39">
        <f t="shared" si="6"/>
        <v>18.653879686137799</v>
      </c>
      <c r="P89" s="37">
        <f t="shared" si="7"/>
        <v>134.50831739228164</v>
      </c>
      <c r="Q89" s="40" t="str">
        <f>IF(ISERROR(I89),"",IF(I89="","",IF(COUNTIF($I$3:I89,I89)&gt;1,"",IFERROR(SUMIFS(Base!$P$3:$P$980,Base!$I$3:$I$980,I89)/SUMIFS(Base!$L$3:$L$980,Base!$I$3:$I$980,I89),0)+ROW()/1000000)))</f>
        <v/>
      </c>
      <c r="R89" s="40" t="str">
        <f>IF(ISERROR(G89),"",IF(G89="","",IF(COUNTIF($G$3:G89,G89)&gt;1,"",IFERROR(SUMIFS(Base!$P$3:$P$980,Base!$G$3:$G$980,G89)/SUMIFS(Base!$L$3:$L$980,Base!$G$3:$G$980,G89),0)+ROW()/1000000)))</f>
        <v/>
      </c>
    </row>
    <row r="90" spans="2:18" ht="14.25" customHeight="1" x14ac:dyDescent="0.35">
      <c r="B90" s="35" t="str">
        <f t="shared" si="4"/>
        <v>221000000615Jpe</v>
      </c>
      <c r="C90" s="35" t="s">
        <v>248</v>
      </c>
      <c r="D90" s="35" t="s">
        <v>249</v>
      </c>
      <c r="E90" s="36">
        <v>221000000615</v>
      </c>
      <c r="F90" s="36">
        <v>221000000615</v>
      </c>
      <c r="G90" s="35" t="s">
        <v>65</v>
      </c>
      <c r="H90" s="35" t="s">
        <v>318</v>
      </c>
      <c r="I90" s="35" t="s">
        <v>290</v>
      </c>
      <c r="J90" s="35" t="s">
        <v>13</v>
      </c>
      <c r="K90" s="37">
        <v>15</v>
      </c>
      <c r="L90" s="38">
        <v>1.12210903113597</v>
      </c>
      <c r="M90" s="38">
        <f t="shared" si="5"/>
        <v>13.367684943070737</v>
      </c>
      <c r="N90" s="36">
        <v>18</v>
      </c>
      <c r="O90" s="39">
        <f t="shared" si="6"/>
        <v>13.367684943070737</v>
      </c>
      <c r="P90" s="37">
        <f t="shared" si="7"/>
        <v>15</v>
      </c>
      <c r="Q90" s="40" t="str">
        <f>IF(ISERROR(I90),"",IF(I90="","",IF(COUNTIF($I$3:I90,I90)&gt;1,"",IFERROR(SUMIFS(Base!$P$3:$P$980,Base!$I$3:$I$980,I90)/SUMIFS(Base!$L$3:$L$980,Base!$I$3:$I$980,I90),0)+ROW()/1000000)))</f>
        <v/>
      </c>
      <c r="R90" s="40" t="str">
        <f>IF(ISERROR(G90),"",IF(G90="","",IF(COUNTIF($G$3:G90,G90)&gt;1,"",IFERROR(SUMIFS(Base!$P$3:$P$980,Base!$G$3:$G$980,G90)/SUMIFS(Base!$L$3:$L$980,Base!$G$3:$G$980,G90),0)+ROW()/1000000)))</f>
        <v/>
      </c>
    </row>
    <row r="91" spans="2:18" ht="14.25" customHeight="1" x14ac:dyDescent="0.35">
      <c r="B91" s="35" t="str">
        <f t="shared" si="4"/>
        <v>201010000572Ara</v>
      </c>
      <c r="C91" s="35" t="s">
        <v>248</v>
      </c>
      <c r="D91" s="35" t="s">
        <v>249</v>
      </c>
      <c r="E91" s="36">
        <v>201010000572</v>
      </c>
      <c r="F91" s="36">
        <v>201010000572</v>
      </c>
      <c r="G91" s="35" t="s">
        <v>115</v>
      </c>
      <c r="H91" s="35" t="s">
        <v>319</v>
      </c>
      <c r="I91" s="35" t="s">
        <v>320</v>
      </c>
      <c r="J91" s="35" t="s">
        <v>12</v>
      </c>
      <c r="K91" s="37">
        <v>12</v>
      </c>
      <c r="L91" s="38">
        <v>12.716901123747601</v>
      </c>
      <c r="M91" s="38">
        <f t="shared" si="5"/>
        <v>0.94362611482377134</v>
      </c>
      <c r="N91" s="36">
        <v>18.355623100304001</v>
      </c>
      <c r="O91" s="39">
        <f t="shared" si="6"/>
        <v>0.94362611482377134</v>
      </c>
      <c r="P91" s="37">
        <f t="shared" si="7"/>
        <v>12</v>
      </c>
      <c r="Q91" s="40">
        <f>IF(ISERROR(I91),"",IF(I91="","",IF(COUNTIF($I$3:I91,I91)&gt;1,"",IFERROR(SUMIFS(Base!$P$3:$P$980,Base!$I$3:$I$980,I91)/SUMIFS(Base!$L$3:$L$980,Base!$I$3:$I$980,I91),0)+ROW()/1000000)))</f>
        <v>5.8699212738546898</v>
      </c>
      <c r="R91" s="40" t="str">
        <f>IF(ISERROR(G91),"",IF(G91="","",IF(COUNTIF($G$3:G91,G91)&gt;1,"",IFERROR(SUMIFS(Base!$P$3:$P$980,Base!$G$3:$G$980,G91)/SUMIFS(Base!$L$3:$L$980,Base!$G$3:$G$980,G91),0)+ROW()/1000000)))</f>
        <v/>
      </c>
    </row>
    <row r="92" spans="2:18" ht="14.25" customHeight="1" x14ac:dyDescent="0.35">
      <c r="B92" s="35" t="str">
        <f t="shared" si="4"/>
        <v>201010000572Jpe</v>
      </c>
      <c r="C92" s="35" t="s">
        <v>248</v>
      </c>
      <c r="D92" s="35" t="s">
        <v>249</v>
      </c>
      <c r="E92" s="36">
        <v>201010000572</v>
      </c>
      <c r="F92" s="36">
        <v>201010000572</v>
      </c>
      <c r="G92" s="35" t="s">
        <v>115</v>
      </c>
      <c r="H92" s="35" t="s">
        <v>319</v>
      </c>
      <c r="I92" s="35" t="s">
        <v>320</v>
      </c>
      <c r="J92" s="35" t="s">
        <v>13</v>
      </c>
      <c r="K92" s="37">
        <v>140</v>
      </c>
      <c r="L92" s="38">
        <v>13.1782258064187</v>
      </c>
      <c r="M92" s="38">
        <f t="shared" si="5"/>
        <v>10.623584847955057</v>
      </c>
      <c r="N92" s="36">
        <v>14</v>
      </c>
      <c r="O92" s="39">
        <f t="shared" si="6"/>
        <v>10.623584847955057</v>
      </c>
      <c r="P92" s="37">
        <f t="shared" si="7"/>
        <v>140</v>
      </c>
      <c r="Q92" s="40" t="str">
        <f>IF(ISERROR(I92),"",IF(I92="","",IF(COUNTIF($I$3:I92,I92)&gt;1,"",IFERROR(SUMIFS(Base!$P$3:$P$980,Base!$I$3:$I$980,I92)/SUMIFS(Base!$L$3:$L$980,Base!$I$3:$I$980,I92),0)+ROW()/1000000)))</f>
        <v/>
      </c>
      <c r="R92" s="40" t="str">
        <f>IF(ISERROR(G92),"",IF(G92="","",IF(COUNTIF($G$3:G92,G92)&gt;1,"",IFERROR(SUMIFS(Base!$P$3:$P$980,Base!$G$3:$G$980,G92)/SUMIFS(Base!$L$3:$L$980,Base!$G$3:$G$980,G92),0)+ROW()/1000000)))</f>
        <v/>
      </c>
    </row>
    <row r="93" spans="2:18" ht="14.25" customHeight="1" x14ac:dyDescent="0.35">
      <c r="B93" s="35" t="str">
        <f t="shared" si="4"/>
        <v>201030000111Ara</v>
      </c>
      <c r="C93" s="35" t="s">
        <v>248</v>
      </c>
      <c r="D93" s="35" t="s">
        <v>249</v>
      </c>
      <c r="E93" s="36">
        <v>201030000111</v>
      </c>
      <c r="F93" s="36">
        <v>201030000111</v>
      </c>
      <c r="G93" s="35" t="s">
        <v>65</v>
      </c>
      <c r="H93" s="35" t="s">
        <v>321</v>
      </c>
      <c r="I93" s="35" t="s">
        <v>322</v>
      </c>
      <c r="J93" s="35" t="s">
        <v>12</v>
      </c>
      <c r="K93" s="37">
        <v>190</v>
      </c>
      <c r="L93" s="38">
        <v>8.8868548387096808</v>
      </c>
      <c r="M93" s="38">
        <f t="shared" si="5"/>
        <v>21.379892374565543</v>
      </c>
      <c r="N93" s="36">
        <v>18.361221779548501</v>
      </c>
      <c r="O93" s="39">
        <f t="shared" si="6"/>
        <v>18.361221779548501</v>
      </c>
      <c r="P93" s="37">
        <f t="shared" si="7"/>
        <v>163.17351261620217</v>
      </c>
      <c r="Q93" s="40">
        <f>IF(ISERROR(I93),"",IF(I93="","",IF(COUNTIF($I$3:I93,I93)&gt;1,"",IFERROR(SUMIFS(Base!$P$3:$P$980,Base!$I$3:$I$980,I93)/SUMIFS(Base!$L$3:$L$980,Base!$I$3:$I$980,I93),0)+ROW()/1000000)))</f>
        <v>15.288479516503688</v>
      </c>
      <c r="R93" s="40" t="str">
        <f>IF(ISERROR(G93),"",IF(G93="","",IF(COUNTIF($G$3:G93,G93)&gt;1,"",IFERROR(SUMIFS(Base!$P$3:$P$980,Base!$G$3:$G$980,G93)/SUMIFS(Base!$L$3:$L$980,Base!$G$3:$G$980,G93),0)+ROW()/1000000)))</f>
        <v/>
      </c>
    </row>
    <row r="94" spans="2:18" ht="14.25" customHeight="1" x14ac:dyDescent="0.35">
      <c r="B94" s="35" t="str">
        <f t="shared" si="4"/>
        <v>201030000111Jpe</v>
      </c>
      <c r="C94" s="35" t="s">
        <v>248</v>
      </c>
      <c r="D94" s="35" t="s">
        <v>249</v>
      </c>
      <c r="E94" s="36">
        <v>201030000111</v>
      </c>
      <c r="F94" s="36">
        <v>201030000111</v>
      </c>
      <c r="G94" s="35" t="s">
        <v>65</v>
      </c>
      <c r="H94" s="35" t="s">
        <v>321</v>
      </c>
      <c r="I94" s="35" t="s">
        <v>322</v>
      </c>
      <c r="J94" s="35" t="s">
        <v>13</v>
      </c>
      <c r="K94" s="37">
        <v>113</v>
      </c>
      <c r="L94" s="38">
        <v>8.7517678743210396</v>
      </c>
      <c r="M94" s="38">
        <f t="shared" si="5"/>
        <v>12.911677003175374</v>
      </c>
      <c r="N94" s="36">
        <v>14</v>
      </c>
      <c r="O94" s="39">
        <f t="shared" si="6"/>
        <v>12.911677003175374</v>
      </c>
      <c r="P94" s="37">
        <f t="shared" si="7"/>
        <v>112.99999999999999</v>
      </c>
      <c r="Q94" s="40" t="str">
        <f>IF(ISERROR(I94),"",IF(I94="","",IF(COUNTIF($I$3:I94,I94)&gt;1,"",IFERROR(SUMIFS(Base!$P$3:$P$980,Base!$I$3:$I$980,I94)/SUMIFS(Base!$L$3:$L$980,Base!$I$3:$I$980,I94),0)+ROW()/1000000)))</f>
        <v/>
      </c>
      <c r="R94" s="40" t="str">
        <f>IF(ISERROR(G94),"",IF(G94="","",IF(COUNTIF($G$3:G94,G94)&gt;1,"",IFERROR(SUMIFS(Base!$P$3:$P$980,Base!$G$3:$G$980,G94)/SUMIFS(Base!$L$3:$L$980,Base!$G$3:$G$980,G94),0)+ROW()/1000000)))</f>
        <v/>
      </c>
    </row>
    <row r="95" spans="2:18" ht="14.25" customHeight="1" x14ac:dyDescent="0.35">
      <c r="B95" s="35" t="str">
        <f t="shared" si="4"/>
        <v>201010000602Ara</v>
      </c>
      <c r="C95" s="35" t="s">
        <v>248</v>
      </c>
      <c r="D95" s="35" t="s">
        <v>249</v>
      </c>
      <c r="E95" s="36">
        <v>201010000602</v>
      </c>
      <c r="F95" s="36">
        <v>201010000602</v>
      </c>
      <c r="G95" s="35" t="s">
        <v>115</v>
      </c>
      <c r="H95" s="35" t="s">
        <v>323</v>
      </c>
      <c r="I95" s="35" t="s">
        <v>294</v>
      </c>
      <c r="J95" s="35" t="s">
        <v>12</v>
      </c>
      <c r="K95" s="37">
        <v>157</v>
      </c>
      <c r="L95" s="38">
        <v>11.547919323969699</v>
      </c>
      <c r="M95" s="38">
        <f t="shared" si="5"/>
        <v>13.595522760028242</v>
      </c>
      <c r="N95" s="36">
        <v>18</v>
      </c>
      <c r="O95" s="39">
        <f t="shared" si="6"/>
        <v>13.595522760028242</v>
      </c>
      <c r="P95" s="37">
        <f t="shared" si="7"/>
        <v>157</v>
      </c>
      <c r="Q95" s="40" t="str">
        <f>IF(ISERROR(I95),"",IF(I95="","",IF(COUNTIF($I$3:I95,I95)&gt;1,"",IFERROR(SUMIFS(Base!$P$3:$P$980,Base!$I$3:$I$980,I95)/SUMIFS(Base!$L$3:$L$980,Base!$I$3:$I$980,I95),0)+ROW()/1000000)))</f>
        <v/>
      </c>
      <c r="R95" s="40" t="str">
        <f>IF(ISERROR(G95),"",IF(G95="","",IF(COUNTIF($G$3:G95,G95)&gt;1,"",IFERROR(SUMIFS(Base!$P$3:$P$980,Base!$G$3:$G$980,G95)/SUMIFS(Base!$L$3:$L$980,Base!$G$3:$G$980,G95),0)+ROW()/1000000)))</f>
        <v/>
      </c>
    </row>
    <row r="96" spans="2:18" ht="14.25" customHeight="1" x14ac:dyDescent="0.35">
      <c r="B96" s="35" t="str">
        <f t="shared" si="4"/>
        <v>201010000602Jpe</v>
      </c>
      <c r="C96" s="35" t="s">
        <v>248</v>
      </c>
      <c r="D96" s="35" t="s">
        <v>249</v>
      </c>
      <c r="E96" s="36">
        <v>201010000602</v>
      </c>
      <c r="F96" s="36">
        <v>201010000602</v>
      </c>
      <c r="G96" s="35" t="s">
        <v>115</v>
      </c>
      <c r="H96" s="35" t="s">
        <v>323</v>
      </c>
      <c r="I96" s="35" t="s">
        <v>294</v>
      </c>
      <c r="J96" s="35" t="s">
        <v>13</v>
      </c>
      <c r="K96" s="37">
        <v>17</v>
      </c>
      <c r="L96" s="38">
        <v>6.5187163979016196</v>
      </c>
      <c r="M96" s="38">
        <f t="shared" si="5"/>
        <v>2.607875379495312</v>
      </c>
      <c r="N96" s="36">
        <v>20</v>
      </c>
      <c r="O96" s="39">
        <f t="shared" si="6"/>
        <v>2.607875379495312</v>
      </c>
      <c r="P96" s="37">
        <f t="shared" si="7"/>
        <v>17</v>
      </c>
      <c r="Q96" s="40" t="str">
        <f>IF(ISERROR(I96),"",IF(I96="","",IF(COUNTIF($I$3:I96,I96)&gt;1,"",IFERROR(SUMIFS(Base!$P$3:$P$980,Base!$I$3:$I$980,I96)/SUMIFS(Base!$L$3:$L$980,Base!$I$3:$I$980,I96),0)+ROW()/1000000)))</f>
        <v/>
      </c>
      <c r="R96" s="40" t="str">
        <f>IF(ISERROR(G96),"",IF(G96="","",IF(COUNTIF($G$3:G96,G96)&gt;1,"",IFERROR(SUMIFS(Base!$P$3:$P$980,Base!$G$3:$G$980,G96)/SUMIFS(Base!$L$3:$L$980,Base!$G$3:$G$980,G96),0)+ROW()/1000000)))</f>
        <v/>
      </c>
    </row>
    <row r="97" spans="2:18" ht="14.25" customHeight="1" x14ac:dyDescent="0.35">
      <c r="B97" s="35" t="str">
        <f t="shared" si="4"/>
        <v>201030000149Ara</v>
      </c>
      <c r="C97" s="35" t="s">
        <v>248</v>
      </c>
      <c r="D97" s="35" t="s">
        <v>249</v>
      </c>
      <c r="E97" s="36">
        <v>201030000149</v>
      </c>
      <c r="F97" s="36">
        <v>201030000149</v>
      </c>
      <c r="G97" s="35" t="s">
        <v>65</v>
      </c>
      <c r="H97" s="35" t="s">
        <v>324</v>
      </c>
      <c r="I97" s="35" t="s">
        <v>312</v>
      </c>
      <c r="J97" s="35" t="s">
        <v>12</v>
      </c>
      <c r="K97" s="37">
        <v>334</v>
      </c>
      <c r="L97" s="38">
        <v>5.2910594207054702</v>
      </c>
      <c r="M97" s="38">
        <f t="shared" si="5"/>
        <v>63.125354195222201</v>
      </c>
      <c r="N97" s="36">
        <v>34.841906202723202</v>
      </c>
      <c r="O97" s="39">
        <f t="shared" si="6"/>
        <v>34.841906202723202</v>
      </c>
      <c r="P97" s="37">
        <f t="shared" si="7"/>
        <v>184.35059604925496</v>
      </c>
      <c r="Q97" s="40" t="str">
        <f>IF(ISERROR(I97),"",IF(I97="","",IF(COUNTIF($I$3:I97,I97)&gt;1,"",IFERROR(SUMIFS(Base!$P$3:$P$980,Base!$I$3:$I$980,I97)/SUMIFS(Base!$L$3:$L$980,Base!$I$3:$I$980,I97),0)+ROW()/1000000)))</f>
        <v/>
      </c>
      <c r="R97" s="40" t="str">
        <f>IF(ISERROR(G97),"",IF(G97="","",IF(COUNTIF($G$3:G97,G97)&gt;1,"",IFERROR(SUMIFS(Base!$P$3:$P$980,Base!$G$3:$G$980,G97)/SUMIFS(Base!$L$3:$L$980,Base!$G$3:$G$980,G97),0)+ROW()/1000000)))</f>
        <v/>
      </c>
    </row>
    <row r="98" spans="2:18" ht="14.25" customHeight="1" x14ac:dyDescent="0.35">
      <c r="B98" s="35" t="str">
        <f t="shared" si="4"/>
        <v>201030000149Jpe</v>
      </c>
      <c r="C98" s="35" t="s">
        <v>248</v>
      </c>
      <c r="D98" s="35" t="s">
        <v>249</v>
      </c>
      <c r="E98" s="36">
        <v>201030000149</v>
      </c>
      <c r="F98" s="36">
        <v>201030000149</v>
      </c>
      <c r="G98" s="35" t="s">
        <v>65</v>
      </c>
      <c r="H98" s="35" t="s">
        <v>324</v>
      </c>
      <c r="I98" s="35" t="s">
        <v>312</v>
      </c>
      <c r="J98" s="35" t="s">
        <v>13</v>
      </c>
      <c r="K98" s="37">
        <v>87</v>
      </c>
      <c r="L98" s="38">
        <v>2.6442419274292401</v>
      </c>
      <c r="M98" s="38">
        <f t="shared" si="5"/>
        <v>32.901679342397507</v>
      </c>
      <c r="N98" s="36">
        <v>23</v>
      </c>
      <c r="O98" s="39">
        <f t="shared" si="6"/>
        <v>23</v>
      </c>
      <c r="P98" s="37">
        <f t="shared" si="7"/>
        <v>60.817564330872521</v>
      </c>
      <c r="Q98" s="40" t="str">
        <f>IF(ISERROR(I98),"",IF(I98="","",IF(COUNTIF($I$3:I98,I98)&gt;1,"",IFERROR(SUMIFS(Base!$P$3:$P$980,Base!$I$3:$I$980,I98)/SUMIFS(Base!$L$3:$L$980,Base!$I$3:$I$980,I98),0)+ROW()/1000000)))</f>
        <v/>
      </c>
      <c r="R98" s="40" t="str">
        <f>IF(ISERROR(G98),"",IF(G98="","",IF(COUNTIF($G$3:G98,G98)&gt;1,"",IFERROR(SUMIFS(Base!$P$3:$P$980,Base!$G$3:$G$980,G98)/SUMIFS(Base!$L$3:$L$980,Base!$G$3:$G$980,G98),0)+ROW()/1000000)))</f>
        <v/>
      </c>
    </row>
    <row r="99" spans="2:18" ht="14.25" customHeight="1" x14ac:dyDescent="0.35">
      <c r="B99" s="35" t="str">
        <f t="shared" si="4"/>
        <v>201010000324Ara</v>
      </c>
      <c r="C99" s="35" t="s">
        <v>248</v>
      </c>
      <c r="D99" s="35" t="s">
        <v>237</v>
      </c>
      <c r="E99" s="36">
        <v>201010000324</v>
      </c>
      <c r="F99" s="36">
        <v>201010000324</v>
      </c>
      <c r="G99" s="35" t="s">
        <v>50</v>
      </c>
      <c r="H99" s="35" t="s">
        <v>325</v>
      </c>
      <c r="I99" s="35" t="s">
        <v>264</v>
      </c>
      <c r="J99" s="35" t="s">
        <v>12</v>
      </c>
      <c r="K99" s="37">
        <v>631</v>
      </c>
      <c r="L99" s="38">
        <v>14.643601356169601</v>
      </c>
      <c r="M99" s="38">
        <f t="shared" si="5"/>
        <v>43.090492881667316</v>
      </c>
      <c r="N99" s="36">
        <v>26.544871794871799</v>
      </c>
      <c r="O99" s="39">
        <f t="shared" si="6"/>
        <v>26.544871794871799</v>
      </c>
      <c r="P99" s="37">
        <f t="shared" si="7"/>
        <v>388.71252061473285</v>
      </c>
      <c r="Q99" s="40" t="str">
        <f>IF(ISERROR(I99),"",IF(I99="","",IF(COUNTIF($I$3:I99,I99)&gt;1,"",IFERROR(SUMIFS(Base!$P$3:$P$980,Base!$I$3:$I$980,I99)/SUMIFS(Base!$L$3:$L$980,Base!$I$3:$I$980,I99),0)+ROW()/1000000)))</f>
        <v/>
      </c>
      <c r="R99" s="40" t="str">
        <f>IF(ISERROR(G99),"",IF(G99="","",IF(COUNTIF($G$3:G99,G99)&gt;1,"",IFERROR(SUMIFS(Base!$P$3:$P$980,Base!$G$3:$G$980,G99)/SUMIFS(Base!$L$3:$L$980,Base!$G$3:$G$980,G99),0)+ROW()/1000000)))</f>
        <v/>
      </c>
    </row>
    <row r="100" spans="2:18" ht="14.25" customHeight="1" x14ac:dyDescent="0.35">
      <c r="B100" s="35" t="str">
        <f t="shared" si="4"/>
        <v>201010000324Jpe</v>
      </c>
      <c r="C100" s="35" t="s">
        <v>248</v>
      </c>
      <c r="D100" s="35" t="s">
        <v>237</v>
      </c>
      <c r="E100" s="36">
        <v>201010000324</v>
      </c>
      <c r="F100" s="36">
        <v>201010000324</v>
      </c>
      <c r="G100" s="35" t="s">
        <v>50</v>
      </c>
      <c r="H100" s="35" t="s">
        <v>325</v>
      </c>
      <c r="I100" s="35" t="s">
        <v>264</v>
      </c>
      <c r="J100" s="35" t="s">
        <v>13</v>
      </c>
      <c r="K100" s="37">
        <v>129</v>
      </c>
      <c r="L100" s="38">
        <v>6.8119352422569603</v>
      </c>
      <c r="M100" s="38">
        <f t="shared" si="5"/>
        <v>18.937349726956469</v>
      </c>
      <c r="N100" s="36">
        <v>22</v>
      </c>
      <c r="O100" s="39">
        <f t="shared" si="6"/>
        <v>18.937349726956469</v>
      </c>
      <c r="P100" s="37">
        <f t="shared" si="7"/>
        <v>129</v>
      </c>
      <c r="Q100" s="40" t="str">
        <f>IF(ISERROR(I100),"",IF(I100="","",IF(COUNTIF($I$3:I100,I100)&gt;1,"",IFERROR(SUMIFS(Base!$P$3:$P$980,Base!$I$3:$I$980,I100)/SUMIFS(Base!$L$3:$L$980,Base!$I$3:$I$980,I100),0)+ROW()/1000000)))</f>
        <v/>
      </c>
      <c r="R100" s="40" t="str">
        <f>IF(ISERROR(G100),"",IF(G100="","",IF(COUNTIF($G$3:G100,G100)&gt;1,"",IFERROR(SUMIFS(Base!$P$3:$P$980,Base!$G$3:$G$980,G100)/SUMIFS(Base!$L$3:$L$980,Base!$G$3:$G$980,G100),0)+ROW()/1000000)))</f>
        <v/>
      </c>
    </row>
    <row r="101" spans="2:18" ht="14.25" customHeight="1" x14ac:dyDescent="0.35">
      <c r="B101" s="35" t="str">
        <f t="shared" si="4"/>
        <v>201010000632Ara</v>
      </c>
      <c r="C101" s="35" t="s">
        <v>248</v>
      </c>
      <c r="D101" s="35" t="s">
        <v>249</v>
      </c>
      <c r="E101" s="36">
        <v>201010000632</v>
      </c>
      <c r="F101" s="36">
        <v>201010000632</v>
      </c>
      <c r="G101" s="35" t="s">
        <v>115</v>
      </c>
      <c r="H101" s="35" t="s">
        <v>326</v>
      </c>
      <c r="I101" s="35" t="s">
        <v>327</v>
      </c>
      <c r="J101" s="35" t="s">
        <v>12</v>
      </c>
      <c r="K101" s="37">
        <v>86</v>
      </c>
      <c r="L101" s="38">
        <v>7.9956735954201497</v>
      </c>
      <c r="M101" s="38">
        <f t="shared" si="5"/>
        <v>10.755816751856909</v>
      </c>
      <c r="N101" s="36">
        <v>16.707136997538999</v>
      </c>
      <c r="O101" s="39">
        <f t="shared" si="6"/>
        <v>10.755816751856909</v>
      </c>
      <c r="P101" s="37">
        <f t="shared" si="7"/>
        <v>86</v>
      </c>
      <c r="Q101" s="40">
        <f>IF(ISERROR(I101),"",IF(I101="","",IF(COUNTIF($I$3:I101,I101)&gt;1,"",IFERROR(SUMIFS(Base!$P$3:$P$980,Base!$I$3:$I$980,I101)/SUMIFS(Base!$L$3:$L$980,Base!$I$3:$I$980,I101),0)+ROW()/1000000)))</f>
        <v>7.2382018705617135</v>
      </c>
      <c r="R101" s="40" t="str">
        <f>IF(ISERROR(G101),"",IF(G101="","",IF(COUNTIF($G$3:G101,G101)&gt;1,"",IFERROR(SUMIFS(Base!$P$3:$P$980,Base!$G$3:$G$980,G101)/SUMIFS(Base!$L$3:$L$980,Base!$G$3:$G$980,G101),0)+ROW()/1000000)))</f>
        <v/>
      </c>
    </row>
    <row r="102" spans="2:18" ht="14.25" customHeight="1" x14ac:dyDescent="0.35">
      <c r="B102" s="35" t="str">
        <f t="shared" si="4"/>
        <v>201010000632Jpe</v>
      </c>
      <c r="C102" s="35" t="s">
        <v>248</v>
      </c>
      <c r="D102" s="35" t="s">
        <v>249</v>
      </c>
      <c r="E102" s="36">
        <v>201010000632</v>
      </c>
      <c r="F102" s="36">
        <v>201010000632</v>
      </c>
      <c r="G102" s="35" t="s">
        <v>115</v>
      </c>
      <c r="H102" s="35" t="s">
        <v>326</v>
      </c>
      <c r="I102" s="35" t="s">
        <v>327</v>
      </c>
      <c r="J102" s="35" t="s">
        <v>13</v>
      </c>
      <c r="K102" s="37">
        <v>28</v>
      </c>
      <c r="L102" s="38">
        <v>7.7543141484164497</v>
      </c>
      <c r="M102" s="38">
        <f t="shared" si="5"/>
        <v>3.6108931704447427</v>
      </c>
      <c r="N102" s="36">
        <v>14</v>
      </c>
      <c r="O102" s="39">
        <f t="shared" si="6"/>
        <v>3.6108931704447427</v>
      </c>
      <c r="P102" s="37">
        <f t="shared" si="7"/>
        <v>28</v>
      </c>
      <c r="Q102" s="40" t="str">
        <f>IF(ISERROR(I102),"",IF(I102="","",IF(COUNTIF($I$3:I102,I102)&gt;1,"",IFERROR(SUMIFS(Base!$P$3:$P$980,Base!$I$3:$I$980,I102)/SUMIFS(Base!$L$3:$L$980,Base!$I$3:$I$980,I102),0)+ROW()/1000000)))</f>
        <v/>
      </c>
      <c r="R102" s="40" t="str">
        <f>IF(ISERROR(G102),"",IF(G102="","",IF(COUNTIF($G$3:G102,G102)&gt;1,"",IFERROR(SUMIFS(Base!$P$3:$P$980,Base!$G$3:$G$980,G102)/SUMIFS(Base!$L$3:$L$980,Base!$G$3:$G$980,G102),0)+ROW()/1000000)))</f>
        <v/>
      </c>
    </row>
    <row r="103" spans="2:18" ht="14.25" customHeight="1" x14ac:dyDescent="0.35">
      <c r="B103" s="35" t="str">
        <f t="shared" si="4"/>
        <v>221000000404Ara</v>
      </c>
      <c r="C103" s="35" t="s">
        <v>248</v>
      </c>
      <c r="D103" s="35" t="s">
        <v>249</v>
      </c>
      <c r="E103" s="36">
        <v>221000000404</v>
      </c>
      <c r="F103" s="36">
        <v>221000000404</v>
      </c>
      <c r="G103" s="35" t="s">
        <v>65</v>
      </c>
      <c r="H103" s="35" t="s">
        <v>328</v>
      </c>
      <c r="I103" s="35" t="s">
        <v>268</v>
      </c>
      <c r="J103" s="35" t="s">
        <v>12</v>
      </c>
      <c r="K103" s="37">
        <v>51</v>
      </c>
      <c r="L103" s="38">
        <v>1.0661005140923501</v>
      </c>
      <c r="M103" s="38">
        <f t="shared" si="5"/>
        <v>47.837890823474609</v>
      </c>
      <c r="N103" s="36">
        <v>15</v>
      </c>
      <c r="O103" s="39">
        <f t="shared" si="6"/>
        <v>15</v>
      </c>
      <c r="P103" s="37">
        <f t="shared" si="7"/>
        <v>15.991507711385252</v>
      </c>
      <c r="Q103" s="40" t="str">
        <f>IF(ISERROR(I103),"",IF(I103="","",IF(COUNTIF($I$3:I103,I103)&gt;1,"",IFERROR(SUMIFS(Base!$P$3:$P$980,Base!$I$3:$I$980,I103)/SUMIFS(Base!$L$3:$L$980,Base!$I$3:$I$980,I103),0)+ROW()/1000000)))</f>
        <v/>
      </c>
      <c r="R103" s="40" t="str">
        <f>IF(ISERROR(G103),"",IF(G103="","",IF(COUNTIF($G$3:G103,G103)&gt;1,"",IFERROR(SUMIFS(Base!$P$3:$P$980,Base!$G$3:$G$980,G103)/SUMIFS(Base!$L$3:$L$980,Base!$G$3:$G$980,G103),0)+ROW()/1000000)))</f>
        <v/>
      </c>
    </row>
    <row r="104" spans="2:18" ht="14.25" customHeight="1" x14ac:dyDescent="0.35">
      <c r="B104" s="35" t="str">
        <f t="shared" si="4"/>
        <v>221000000404Jpe</v>
      </c>
      <c r="C104" s="35" t="s">
        <v>248</v>
      </c>
      <c r="D104" s="35" t="s">
        <v>249</v>
      </c>
      <c r="E104" s="36">
        <v>221000000404</v>
      </c>
      <c r="F104" s="36">
        <v>221000000404</v>
      </c>
      <c r="G104" s="35" t="s">
        <v>65</v>
      </c>
      <c r="H104" s="35" t="s">
        <v>328</v>
      </c>
      <c r="I104" s="35" t="s">
        <v>268</v>
      </c>
      <c r="J104" s="35" t="s">
        <v>13</v>
      </c>
      <c r="K104" s="37">
        <v>18</v>
      </c>
      <c r="L104" s="38">
        <v>0.61007833472300599</v>
      </c>
      <c r="M104" s="38">
        <f t="shared" si="5"/>
        <v>29.50440783669616</v>
      </c>
      <c r="N104" s="36">
        <v>15</v>
      </c>
      <c r="O104" s="39">
        <f t="shared" si="6"/>
        <v>15</v>
      </c>
      <c r="P104" s="37">
        <f t="shared" si="7"/>
        <v>9.1511750208450895</v>
      </c>
      <c r="Q104" s="40" t="str">
        <f>IF(ISERROR(I104),"",IF(I104="","",IF(COUNTIF($I$3:I104,I104)&gt;1,"",IFERROR(SUMIFS(Base!$P$3:$P$980,Base!$I$3:$I$980,I104)/SUMIFS(Base!$L$3:$L$980,Base!$I$3:$I$980,I104),0)+ROW()/1000000)))</f>
        <v/>
      </c>
      <c r="R104" s="40" t="str">
        <f>IF(ISERROR(G104),"",IF(G104="","",IF(COUNTIF($G$3:G104,G104)&gt;1,"",IFERROR(SUMIFS(Base!$P$3:$P$980,Base!$G$3:$G$980,G104)/SUMIFS(Base!$L$3:$L$980,Base!$G$3:$G$980,G104),0)+ROW()/1000000)))</f>
        <v/>
      </c>
    </row>
    <row r="105" spans="2:18" ht="14.25" customHeight="1" x14ac:dyDescent="0.35">
      <c r="B105" s="35" t="str">
        <f t="shared" si="4"/>
        <v>201030000104Ara</v>
      </c>
      <c r="C105" s="35" t="s">
        <v>248</v>
      </c>
      <c r="D105" s="35" t="s">
        <v>237</v>
      </c>
      <c r="E105" s="36">
        <v>201030000104</v>
      </c>
      <c r="F105" s="36">
        <v>201030000104</v>
      </c>
      <c r="G105" s="35" t="s">
        <v>65</v>
      </c>
      <c r="H105" s="35" t="s">
        <v>329</v>
      </c>
      <c r="I105" s="35" t="s">
        <v>298</v>
      </c>
      <c r="J105" s="35" t="s">
        <v>12</v>
      </c>
      <c r="K105" s="37">
        <v>171</v>
      </c>
      <c r="L105" s="38">
        <v>5.3970747983871101</v>
      </c>
      <c r="M105" s="38">
        <f t="shared" si="5"/>
        <v>31.683829924147528</v>
      </c>
      <c r="N105" s="36">
        <v>25.781750924784198</v>
      </c>
      <c r="O105" s="39">
        <f t="shared" si="6"/>
        <v>25.781750924784198</v>
      </c>
      <c r="P105" s="37">
        <f t="shared" si="7"/>
        <v>139.14603817444637</v>
      </c>
      <c r="Q105" s="40" t="str">
        <f>IF(ISERROR(I105),"",IF(I105="","",IF(COUNTIF($I$3:I105,I105)&gt;1,"",IFERROR(SUMIFS(Base!$P$3:$P$980,Base!$I$3:$I$980,I105)/SUMIFS(Base!$L$3:$L$980,Base!$I$3:$I$980,I105),0)+ROW()/1000000)))</f>
        <v/>
      </c>
      <c r="R105" s="40" t="str">
        <f>IF(ISERROR(G105),"",IF(G105="","",IF(COUNTIF($G$3:G105,G105)&gt;1,"",IFERROR(SUMIFS(Base!$P$3:$P$980,Base!$G$3:$G$980,G105)/SUMIFS(Base!$L$3:$L$980,Base!$G$3:$G$980,G105),0)+ROW()/1000000)))</f>
        <v/>
      </c>
    </row>
    <row r="106" spans="2:18" ht="14.25" customHeight="1" x14ac:dyDescent="0.35">
      <c r="B106" s="35" t="str">
        <f t="shared" si="4"/>
        <v>201030000104Jpe</v>
      </c>
      <c r="C106" s="35" t="s">
        <v>248</v>
      </c>
      <c r="D106" s="35" t="s">
        <v>237</v>
      </c>
      <c r="E106" s="36">
        <v>201030000104</v>
      </c>
      <c r="F106" s="36">
        <v>201030000104</v>
      </c>
      <c r="G106" s="35" t="s">
        <v>65</v>
      </c>
      <c r="H106" s="35" t="s">
        <v>329</v>
      </c>
      <c r="I106" s="35" t="s">
        <v>298</v>
      </c>
      <c r="J106" s="35" t="s">
        <v>13</v>
      </c>
      <c r="K106" s="37">
        <v>49</v>
      </c>
      <c r="L106" s="38">
        <v>2.7390646673387198</v>
      </c>
      <c r="M106" s="38">
        <f t="shared" si="5"/>
        <v>17.88931841744667</v>
      </c>
      <c r="N106" s="36">
        <v>20</v>
      </c>
      <c r="O106" s="39">
        <f t="shared" si="6"/>
        <v>17.88931841744667</v>
      </c>
      <c r="P106" s="37">
        <f t="shared" si="7"/>
        <v>49</v>
      </c>
      <c r="Q106" s="40" t="str">
        <f>IF(ISERROR(I106),"",IF(I106="","",IF(COUNTIF($I$3:I106,I106)&gt;1,"",IFERROR(SUMIFS(Base!$P$3:$P$980,Base!$I$3:$I$980,I106)/SUMIFS(Base!$L$3:$L$980,Base!$I$3:$I$980,I106),0)+ROW()/1000000)))</f>
        <v/>
      </c>
      <c r="R106" s="40" t="str">
        <f>IF(ISERROR(G106),"",IF(G106="","",IF(COUNTIF($G$3:G106,G106)&gt;1,"",IFERROR(SUMIFS(Base!$P$3:$P$980,Base!$G$3:$G$980,G106)/SUMIFS(Base!$L$3:$L$980,Base!$G$3:$G$980,G106),0)+ROW()/1000000)))</f>
        <v/>
      </c>
    </row>
    <row r="107" spans="2:18" ht="14.25" customHeight="1" x14ac:dyDescent="0.35">
      <c r="B107" s="35" t="str">
        <f t="shared" si="4"/>
        <v>201010000539Ara</v>
      </c>
      <c r="C107" s="35" t="s">
        <v>248</v>
      </c>
      <c r="D107" s="35" t="s">
        <v>249</v>
      </c>
      <c r="E107" s="36">
        <v>201010000539</v>
      </c>
      <c r="F107" s="36">
        <v>201010000539</v>
      </c>
      <c r="G107" s="35" t="s">
        <v>36</v>
      </c>
      <c r="H107" s="35" t="s">
        <v>330</v>
      </c>
      <c r="I107" s="35" t="s">
        <v>331</v>
      </c>
      <c r="J107" s="35" t="s">
        <v>12</v>
      </c>
      <c r="K107" s="37">
        <v>759</v>
      </c>
      <c r="L107" s="38">
        <v>11.371564716111401</v>
      </c>
      <c r="M107" s="38">
        <f t="shared" si="5"/>
        <v>66.745432044601358</v>
      </c>
      <c r="N107" s="36">
        <v>18.5</v>
      </c>
      <c r="O107" s="39">
        <f t="shared" si="6"/>
        <v>18.5</v>
      </c>
      <c r="P107" s="37">
        <f t="shared" si="7"/>
        <v>210.37394724806092</v>
      </c>
      <c r="Q107" s="40">
        <f>IF(ISERROR(I107),"",IF(I107="","",IF(COUNTIF($I$3:I107,I107)&gt;1,"",IFERROR(SUMIFS(Base!$P$3:$P$980,Base!$I$3:$I$980,I107)/SUMIFS(Base!$L$3:$L$980,Base!$I$3:$I$980,I107),0)+ROW()/1000000)))</f>
        <v>17.330105367051875</v>
      </c>
      <c r="R107" s="40" t="str">
        <f>IF(ISERROR(G107),"",IF(G107="","",IF(COUNTIF($G$3:G107,G107)&gt;1,"",IFERROR(SUMIFS(Base!$P$3:$P$980,Base!$G$3:$G$980,G107)/SUMIFS(Base!$L$3:$L$980,Base!$G$3:$G$980,G107),0)+ROW()/1000000)))</f>
        <v/>
      </c>
    </row>
    <row r="108" spans="2:18" ht="14.25" customHeight="1" x14ac:dyDescent="0.35">
      <c r="B108" s="35" t="str">
        <f t="shared" si="4"/>
        <v>201010000539Jpe</v>
      </c>
      <c r="C108" s="35" t="s">
        <v>248</v>
      </c>
      <c r="D108" s="35" t="s">
        <v>249</v>
      </c>
      <c r="E108" s="36">
        <v>201010000539</v>
      </c>
      <c r="F108" s="36">
        <v>201010000539</v>
      </c>
      <c r="G108" s="35" t="s">
        <v>36</v>
      </c>
      <c r="H108" s="35" t="s">
        <v>330</v>
      </c>
      <c r="I108" s="35" t="s">
        <v>331</v>
      </c>
      <c r="J108" s="35" t="s">
        <v>13</v>
      </c>
      <c r="K108" s="37">
        <v>88</v>
      </c>
      <c r="L108" s="38">
        <v>5.8456294767821904</v>
      </c>
      <c r="M108" s="38">
        <f t="shared" si="5"/>
        <v>15.053981842249922</v>
      </c>
      <c r="N108" s="36">
        <v>18</v>
      </c>
      <c r="O108" s="39">
        <f t="shared" si="6"/>
        <v>15.053981842249922</v>
      </c>
      <c r="P108" s="37">
        <f t="shared" si="7"/>
        <v>88</v>
      </c>
      <c r="Q108" s="40" t="str">
        <f>IF(ISERROR(I108),"",IF(I108="","",IF(COUNTIF($I$3:I108,I108)&gt;1,"",IFERROR(SUMIFS(Base!$P$3:$P$980,Base!$I$3:$I$980,I108)/SUMIFS(Base!$L$3:$L$980,Base!$I$3:$I$980,I108),0)+ROW()/1000000)))</f>
        <v/>
      </c>
      <c r="R108" s="40" t="str">
        <f>IF(ISERROR(G108),"",IF(G108="","",IF(COUNTIF($G$3:G108,G108)&gt;1,"",IFERROR(SUMIFS(Base!$P$3:$P$980,Base!$G$3:$G$980,G108)/SUMIFS(Base!$L$3:$L$980,Base!$G$3:$G$980,G108),0)+ROW()/1000000)))</f>
        <v/>
      </c>
    </row>
    <row r="109" spans="2:18" ht="14.25" customHeight="1" x14ac:dyDescent="0.35">
      <c r="B109" s="35" t="str">
        <f t="shared" si="4"/>
        <v>221000000395Ara</v>
      </c>
      <c r="C109" s="35" t="s">
        <v>248</v>
      </c>
      <c r="D109" s="35" t="s">
        <v>249</v>
      </c>
      <c r="E109" s="36">
        <v>221000000395</v>
      </c>
      <c r="F109" s="36">
        <v>221000000395</v>
      </c>
      <c r="G109" s="35" t="s">
        <v>65</v>
      </c>
      <c r="H109" s="35" t="s">
        <v>332</v>
      </c>
      <c r="I109" s="35" t="s">
        <v>298</v>
      </c>
      <c r="J109" s="35" t="s">
        <v>12</v>
      </c>
      <c r="K109" s="37">
        <v>70</v>
      </c>
      <c r="L109" s="38">
        <v>5.7414855808448904</v>
      </c>
      <c r="M109" s="38">
        <f t="shared" si="5"/>
        <v>12.191966524054063</v>
      </c>
      <c r="N109" s="36">
        <v>10</v>
      </c>
      <c r="O109" s="39">
        <f t="shared" si="6"/>
        <v>10</v>
      </c>
      <c r="P109" s="37">
        <f t="shared" si="7"/>
        <v>57.414855808448905</v>
      </c>
      <c r="Q109" s="40" t="str">
        <f>IF(ISERROR(I109),"",IF(I109="","",IF(COUNTIF($I$3:I109,I109)&gt;1,"",IFERROR(SUMIFS(Base!$P$3:$P$980,Base!$I$3:$I$980,I109)/SUMIFS(Base!$L$3:$L$980,Base!$I$3:$I$980,I109),0)+ROW()/1000000)))</f>
        <v/>
      </c>
      <c r="R109" s="40" t="str">
        <f>IF(ISERROR(G109),"",IF(G109="","",IF(COUNTIF($G$3:G109,G109)&gt;1,"",IFERROR(SUMIFS(Base!$P$3:$P$980,Base!$G$3:$G$980,G109)/SUMIFS(Base!$L$3:$L$980,Base!$G$3:$G$980,G109),0)+ROW()/1000000)))</f>
        <v/>
      </c>
    </row>
    <row r="110" spans="2:18" ht="14.25" customHeight="1" x14ac:dyDescent="0.35">
      <c r="B110" s="35" t="str">
        <f t="shared" si="4"/>
        <v>221000000395Jpe</v>
      </c>
      <c r="C110" s="35" t="s">
        <v>248</v>
      </c>
      <c r="D110" s="35" t="s">
        <v>249</v>
      </c>
      <c r="E110" s="36">
        <v>221000000395</v>
      </c>
      <c r="F110" s="36">
        <v>221000000395</v>
      </c>
      <c r="G110" s="35" t="s">
        <v>65</v>
      </c>
      <c r="H110" s="35" t="s">
        <v>332</v>
      </c>
      <c r="I110" s="35" t="s">
        <v>298</v>
      </c>
      <c r="J110" s="35" t="s">
        <v>13</v>
      </c>
      <c r="K110" s="37">
        <v>40</v>
      </c>
      <c r="L110" s="38">
        <v>2.6389891342906902</v>
      </c>
      <c r="M110" s="38">
        <f t="shared" si="5"/>
        <v>15.157318944684187</v>
      </c>
      <c r="N110" s="36">
        <v>10</v>
      </c>
      <c r="O110" s="39">
        <f t="shared" si="6"/>
        <v>10</v>
      </c>
      <c r="P110" s="37">
        <f t="shared" si="7"/>
        <v>26.3898913429069</v>
      </c>
      <c r="Q110" s="40" t="str">
        <f>IF(ISERROR(I110),"",IF(I110="","",IF(COUNTIF($I$3:I110,I110)&gt;1,"",IFERROR(SUMIFS(Base!$P$3:$P$980,Base!$I$3:$I$980,I110)/SUMIFS(Base!$L$3:$L$980,Base!$I$3:$I$980,I110),0)+ROW()/1000000)))</f>
        <v/>
      </c>
      <c r="R110" s="40" t="str">
        <f>IF(ISERROR(G110),"",IF(G110="","",IF(COUNTIF($G$3:G110,G110)&gt;1,"",IFERROR(SUMIFS(Base!$P$3:$P$980,Base!$G$3:$G$980,G110)/SUMIFS(Base!$L$3:$L$980,Base!$G$3:$G$980,G110),0)+ROW()/1000000)))</f>
        <v/>
      </c>
    </row>
    <row r="111" spans="2:18" ht="14.25" customHeight="1" x14ac:dyDescent="0.35">
      <c r="B111" s="35" t="str">
        <f t="shared" si="4"/>
        <v>201010000654Ara</v>
      </c>
      <c r="C111" s="35" t="s">
        <v>248</v>
      </c>
      <c r="D111" s="35" t="s">
        <v>249</v>
      </c>
      <c r="E111" s="36">
        <v>201010000654</v>
      </c>
      <c r="F111" s="36">
        <v>201010000654</v>
      </c>
      <c r="G111" s="35" t="s">
        <v>36</v>
      </c>
      <c r="H111" s="35" t="s">
        <v>333</v>
      </c>
      <c r="I111" s="35" t="s">
        <v>334</v>
      </c>
      <c r="J111" s="35" t="s">
        <v>12</v>
      </c>
      <c r="K111" s="37">
        <v>122</v>
      </c>
      <c r="L111" s="38">
        <v>8.9508348752079705</v>
      </c>
      <c r="M111" s="38">
        <f t="shared" si="5"/>
        <v>13.630013479291826</v>
      </c>
      <c r="N111" s="36">
        <v>17.141750580945001</v>
      </c>
      <c r="O111" s="39">
        <f t="shared" si="6"/>
        <v>13.630013479291826</v>
      </c>
      <c r="P111" s="37">
        <f t="shared" si="7"/>
        <v>122</v>
      </c>
      <c r="Q111" s="40">
        <f>IF(ISERROR(I111),"",IF(I111="","",IF(COUNTIF($I$3:I111,I111)&gt;1,"",IFERROR(SUMIFS(Base!$P$3:$P$980,Base!$I$3:$I$980,I111)/SUMIFS(Base!$L$3:$L$980,Base!$I$3:$I$980,I111),0)+ROW()/1000000)))</f>
        <v>14.182766845253054</v>
      </c>
      <c r="R111" s="40" t="str">
        <f>IF(ISERROR(G111),"",IF(G111="","",IF(COUNTIF($G$3:G111,G111)&gt;1,"",IFERROR(SUMIFS(Base!$P$3:$P$980,Base!$G$3:$G$980,G111)/SUMIFS(Base!$L$3:$L$980,Base!$G$3:$G$980,G111),0)+ROW()/1000000)))</f>
        <v/>
      </c>
    </row>
    <row r="112" spans="2:18" ht="14.25" customHeight="1" x14ac:dyDescent="0.35">
      <c r="B112" s="35" t="str">
        <f t="shared" si="4"/>
        <v>201010000654Jpe</v>
      </c>
      <c r="C112" s="35" t="s">
        <v>248</v>
      </c>
      <c r="D112" s="35" t="s">
        <v>249</v>
      </c>
      <c r="E112" s="36">
        <v>201010000654</v>
      </c>
      <c r="F112" s="36">
        <v>201010000654</v>
      </c>
      <c r="G112" s="35" t="s">
        <v>36</v>
      </c>
      <c r="H112" s="35" t="s">
        <v>333</v>
      </c>
      <c r="I112" s="35" t="s">
        <v>334</v>
      </c>
      <c r="J112" s="35" t="s">
        <v>13</v>
      </c>
      <c r="K112" s="37">
        <v>83</v>
      </c>
      <c r="L112" s="38">
        <v>2.7218898246887102</v>
      </c>
      <c r="M112" s="38">
        <f t="shared" si="5"/>
        <v>30.493519336144445</v>
      </c>
      <c r="N112" s="36">
        <v>16</v>
      </c>
      <c r="O112" s="39">
        <f t="shared" si="6"/>
        <v>16</v>
      </c>
      <c r="P112" s="37">
        <f t="shared" si="7"/>
        <v>43.550237195019363</v>
      </c>
      <c r="Q112" s="40" t="str">
        <f>IF(ISERROR(I112),"",IF(I112="","",IF(COUNTIF($I$3:I112,I112)&gt;1,"",IFERROR(SUMIFS(Base!$P$3:$P$980,Base!$I$3:$I$980,I112)/SUMIFS(Base!$L$3:$L$980,Base!$I$3:$I$980,I112),0)+ROW()/1000000)))</f>
        <v/>
      </c>
      <c r="R112" s="40" t="str">
        <f>IF(ISERROR(G112),"",IF(G112="","",IF(COUNTIF($G$3:G112,G112)&gt;1,"",IFERROR(SUMIFS(Base!$P$3:$P$980,Base!$G$3:$G$980,G112)/SUMIFS(Base!$L$3:$L$980,Base!$G$3:$G$980,G112),0)+ROW()/1000000)))</f>
        <v/>
      </c>
    </row>
    <row r="113" spans="2:18" ht="14.25" customHeight="1" x14ac:dyDescent="0.35">
      <c r="B113" s="35" t="str">
        <f t="shared" si="4"/>
        <v>201030000175Ara</v>
      </c>
      <c r="C113" s="35" t="s">
        <v>248</v>
      </c>
      <c r="D113" s="35" t="s">
        <v>249</v>
      </c>
      <c r="E113" s="36">
        <v>201030000175</v>
      </c>
      <c r="F113" s="36">
        <v>201030000175</v>
      </c>
      <c r="G113" s="35" t="s">
        <v>65</v>
      </c>
      <c r="H113" s="35" t="s">
        <v>335</v>
      </c>
      <c r="I113" s="35" t="s">
        <v>268</v>
      </c>
      <c r="J113" s="35" t="s">
        <v>12</v>
      </c>
      <c r="K113" s="37">
        <v>62</v>
      </c>
      <c r="L113" s="38">
        <v>0.91567545290020802</v>
      </c>
      <c r="M113" s="38">
        <f t="shared" si="5"/>
        <v>67.709579637226412</v>
      </c>
      <c r="N113" s="36">
        <v>20.017482517482499</v>
      </c>
      <c r="O113" s="39">
        <f t="shared" si="6"/>
        <v>20.017482517482499</v>
      </c>
      <c r="P113" s="37">
        <f t="shared" si="7"/>
        <v>18.329517370117784</v>
      </c>
      <c r="Q113" s="40" t="str">
        <f>IF(ISERROR(I113),"",IF(I113="","",IF(COUNTIF($I$3:I113,I113)&gt;1,"",IFERROR(SUMIFS(Base!$P$3:$P$980,Base!$I$3:$I$980,I113)/SUMIFS(Base!$L$3:$L$980,Base!$I$3:$I$980,I113),0)+ROW()/1000000)))</f>
        <v/>
      </c>
      <c r="R113" s="40" t="str">
        <f>IF(ISERROR(G113),"",IF(G113="","",IF(COUNTIF($G$3:G113,G113)&gt;1,"",IFERROR(SUMIFS(Base!$P$3:$P$980,Base!$G$3:$G$980,G113)/SUMIFS(Base!$L$3:$L$980,Base!$G$3:$G$980,G113),0)+ROW()/1000000)))</f>
        <v/>
      </c>
    </row>
    <row r="114" spans="2:18" ht="14.25" customHeight="1" x14ac:dyDescent="0.35">
      <c r="B114" s="35" t="str">
        <f t="shared" si="4"/>
        <v>201030000175Jpe</v>
      </c>
      <c r="C114" s="35" t="s">
        <v>248</v>
      </c>
      <c r="D114" s="35" t="s">
        <v>249</v>
      </c>
      <c r="E114" s="36">
        <v>201030000175</v>
      </c>
      <c r="F114" s="36">
        <v>201030000175</v>
      </c>
      <c r="G114" s="35" t="s">
        <v>65</v>
      </c>
      <c r="H114" s="35" t="s">
        <v>335</v>
      </c>
      <c r="I114" s="35" t="s">
        <v>268</v>
      </c>
      <c r="J114" s="35" t="s">
        <v>13</v>
      </c>
      <c r="K114" s="37">
        <v>32</v>
      </c>
      <c r="L114" s="38">
        <v>1.16479909694325</v>
      </c>
      <c r="M114" s="38">
        <f t="shared" si="5"/>
        <v>27.472548771695234</v>
      </c>
      <c r="N114" s="36">
        <v>17</v>
      </c>
      <c r="O114" s="39">
        <f t="shared" si="6"/>
        <v>17</v>
      </c>
      <c r="P114" s="37">
        <f t="shared" si="7"/>
        <v>19.801584648035249</v>
      </c>
      <c r="Q114" s="40" t="str">
        <f>IF(ISERROR(I114),"",IF(I114="","",IF(COUNTIF($I$3:I114,I114)&gt;1,"",IFERROR(SUMIFS(Base!$P$3:$P$980,Base!$I$3:$I$980,I114)/SUMIFS(Base!$L$3:$L$980,Base!$I$3:$I$980,I114),0)+ROW()/1000000)))</f>
        <v/>
      </c>
      <c r="R114" s="40" t="str">
        <f>IF(ISERROR(G114),"",IF(G114="","",IF(COUNTIF($G$3:G114,G114)&gt;1,"",IFERROR(SUMIFS(Base!$P$3:$P$980,Base!$G$3:$G$980,G114)/SUMIFS(Base!$L$3:$L$980,Base!$G$3:$G$980,G114),0)+ROW()/1000000)))</f>
        <v/>
      </c>
    </row>
    <row r="115" spans="2:18" ht="14.25" customHeight="1" x14ac:dyDescent="0.35">
      <c r="B115" s="35" t="str">
        <f t="shared" si="4"/>
        <v>201010000432Ara</v>
      </c>
      <c r="C115" s="35" t="s">
        <v>248</v>
      </c>
      <c r="D115" s="35" t="s">
        <v>249</v>
      </c>
      <c r="E115" s="36">
        <v>201010000432</v>
      </c>
      <c r="F115" s="36">
        <v>201010000432</v>
      </c>
      <c r="G115" s="35" t="s">
        <v>115</v>
      </c>
      <c r="H115" s="35" t="s">
        <v>336</v>
      </c>
      <c r="I115" s="35" t="s">
        <v>337</v>
      </c>
      <c r="J115" s="35" t="s">
        <v>12</v>
      </c>
      <c r="K115" s="37">
        <v>-25</v>
      </c>
      <c r="L115" s="38">
        <v>10.9578552147954</v>
      </c>
      <c r="M115" s="38">
        <f t="shared" si="5"/>
        <v>-2.2814683631012724</v>
      </c>
      <c r="N115" s="36">
        <v>21</v>
      </c>
      <c r="O115" s="39">
        <f t="shared" si="6"/>
        <v>-2.2814683631012724</v>
      </c>
      <c r="P115" s="37">
        <f t="shared" si="7"/>
        <v>-25.000000000000004</v>
      </c>
      <c r="Q115" s="40">
        <f>IF(ISERROR(I115),"",IF(I115="","",IF(COUNTIF($I$3:I115,I115)&gt;1,"",IFERROR(SUMIFS(Base!$P$3:$P$980,Base!$I$3:$I$980,I115)/SUMIFS(Base!$L$3:$L$980,Base!$I$3:$I$980,I115),0)+ROW()/1000000)))</f>
        <v>6.8551166998464819</v>
      </c>
      <c r="R115" s="40" t="str">
        <f>IF(ISERROR(G115),"",IF(G115="","",IF(COUNTIF($G$3:G115,G115)&gt;1,"",IFERROR(SUMIFS(Base!$P$3:$P$980,Base!$G$3:$G$980,G115)/SUMIFS(Base!$L$3:$L$980,Base!$G$3:$G$980,G115),0)+ROW()/1000000)))</f>
        <v/>
      </c>
    </row>
    <row r="116" spans="2:18" ht="14.25" customHeight="1" x14ac:dyDescent="0.35">
      <c r="B116" s="35" t="str">
        <f t="shared" si="4"/>
        <v>201010000432Jpe</v>
      </c>
      <c r="C116" s="35" t="s">
        <v>248</v>
      </c>
      <c r="D116" s="35" t="s">
        <v>249</v>
      </c>
      <c r="E116" s="36">
        <v>201010000432</v>
      </c>
      <c r="F116" s="36">
        <v>201010000432</v>
      </c>
      <c r="G116" s="35" t="s">
        <v>115</v>
      </c>
      <c r="H116" s="35" t="s">
        <v>336</v>
      </c>
      <c r="I116" s="35" t="s">
        <v>337</v>
      </c>
      <c r="J116" s="35" t="s">
        <v>13</v>
      </c>
      <c r="K116" s="37">
        <v>136</v>
      </c>
      <c r="L116" s="38">
        <v>10.3724497669504</v>
      </c>
      <c r="M116" s="38">
        <f t="shared" si="5"/>
        <v>13.111656653506774</v>
      </c>
      <c r="N116" s="36">
        <v>17</v>
      </c>
      <c r="O116" s="39">
        <f t="shared" si="6"/>
        <v>13.111656653506774</v>
      </c>
      <c r="P116" s="37">
        <f t="shared" si="7"/>
        <v>136</v>
      </c>
      <c r="Q116" s="40" t="str">
        <f>IF(ISERROR(I116),"",IF(I116="","",IF(COUNTIF($I$3:I116,I116)&gt;1,"",IFERROR(SUMIFS(Base!$P$3:$P$980,Base!$I$3:$I$980,I116)/SUMIFS(Base!$L$3:$L$980,Base!$I$3:$I$980,I116),0)+ROW()/1000000)))</f>
        <v/>
      </c>
      <c r="R116" s="40" t="str">
        <f>IF(ISERROR(G116),"",IF(G116="","",IF(COUNTIF($G$3:G116,G116)&gt;1,"",IFERROR(SUMIFS(Base!$P$3:$P$980,Base!$G$3:$G$980,G116)/SUMIFS(Base!$L$3:$L$980,Base!$G$3:$G$980,G116),0)+ROW()/1000000)))</f>
        <v/>
      </c>
    </row>
    <row r="117" spans="2:18" ht="14.25" customHeight="1" x14ac:dyDescent="0.35">
      <c r="B117" s="35" t="str">
        <f t="shared" si="4"/>
        <v>201030000379Ara</v>
      </c>
      <c r="C117" s="35" t="s">
        <v>248</v>
      </c>
      <c r="D117" s="35" t="s">
        <v>249</v>
      </c>
      <c r="E117" s="36">
        <v>201030000379</v>
      </c>
      <c r="F117" s="36">
        <v>201030000379</v>
      </c>
      <c r="G117" s="35" t="s">
        <v>65</v>
      </c>
      <c r="H117" s="35" t="s">
        <v>338</v>
      </c>
      <c r="I117" s="35" t="s">
        <v>290</v>
      </c>
      <c r="J117" s="35" t="s">
        <v>12</v>
      </c>
      <c r="K117" s="37">
        <v>56</v>
      </c>
      <c r="L117" s="38">
        <v>6.9150326700641003</v>
      </c>
      <c r="M117" s="38">
        <f t="shared" si="5"/>
        <v>8.09829868807849</v>
      </c>
      <c r="N117" s="36">
        <v>34.691213389121302</v>
      </c>
      <c r="O117" s="39">
        <f t="shared" si="6"/>
        <v>8.09829868807849</v>
      </c>
      <c r="P117" s="37">
        <f t="shared" si="7"/>
        <v>56</v>
      </c>
      <c r="Q117" s="40" t="str">
        <f>IF(ISERROR(I117),"",IF(I117="","",IF(COUNTIF($I$3:I117,I117)&gt;1,"",IFERROR(SUMIFS(Base!$P$3:$P$980,Base!$I$3:$I$980,I117)/SUMIFS(Base!$L$3:$L$980,Base!$I$3:$I$980,I117),0)+ROW()/1000000)))</f>
        <v/>
      </c>
      <c r="R117" s="40" t="str">
        <f>IF(ISERROR(G117),"",IF(G117="","",IF(COUNTIF($G$3:G117,G117)&gt;1,"",IFERROR(SUMIFS(Base!$P$3:$P$980,Base!$G$3:$G$980,G117)/SUMIFS(Base!$L$3:$L$980,Base!$G$3:$G$980,G117),0)+ROW()/1000000)))</f>
        <v/>
      </c>
    </row>
    <row r="118" spans="2:18" ht="14.25" customHeight="1" x14ac:dyDescent="0.35">
      <c r="B118" s="35" t="str">
        <f t="shared" si="4"/>
        <v>201030000379Jpe</v>
      </c>
      <c r="C118" s="35" t="s">
        <v>248</v>
      </c>
      <c r="D118" s="35" t="s">
        <v>249</v>
      </c>
      <c r="E118" s="36">
        <v>201030000379</v>
      </c>
      <c r="F118" s="36">
        <v>201030000379</v>
      </c>
      <c r="G118" s="35" t="s">
        <v>65</v>
      </c>
      <c r="H118" s="35" t="s">
        <v>338</v>
      </c>
      <c r="I118" s="35" t="s">
        <v>290</v>
      </c>
      <c r="J118" s="35" t="s">
        <v>13</v>
      </c>
      <c r="K118" s="37">
        <v>24</v>
      </c>
      <c r="L118" s="38">
        <v>4.1090397839536097</v>
      </c>
      <c r="M118" s="38">
        <f t="shared" si="5"/>
        <v>5.8407806353502458</v>
      </c>
      <c r="N118" s="36">
        <v>23</v>
      </c>
      <c r="O118" s="39">
        <f t="shared" si="6"/>
        <v>5.8407806353502458</v>
      </c>
      <c r="P118" s="37">
        <f t="shared" si="7"/>
        <v>24</v>
      </c>
      <c r="Q118" s="40" t="str">
        <f>IF(ISERROR(I118),"",IF(I118="","",IF(COUNTIF($I$3:I118,I118)&gt;1,"",IFERROR(SUMIFS(Base!$P$3:$P$980,Base!$I$3:$I$980,I118)/SUMIFS(Base!$L$3:$L$980,Base!$I$3:$I$980,I118),0)+ROW()/1000000)))</f>
        <v/>
      </c>
      <c r="R118" s="40" t="str">
        <f>IF(ISERROR(G118),"",IF(G118="","",IF(COUNTIF($G$3:G118,G118)&gt;1,"",IFERROR(SUMIFS(Base!$P$3:$P$980,Base!$G$3:$G$980,G118)/SUMIFS(Base!$L$3:$L$980,Base!$G$3:$G$980,G118),0)+ROW()/1000000)))</f>
        <v/>
      </c>
    </row>
    <row r="119" spans="2:18" ht="14.25" customHeight="1" x14ac:dyDescent="0.35">
      <c r="B119" s="35" t="str">
        <f t="shared" si="4"/>
        <v>201010000455Ara</v>
      </c>
      <c r="C119" s="35" t="s">
        <v>248</v>
      </c>
      <c r="D119" s="35" t="s">
        <v>249</v>
      </c>
      <c r="E119" s="36">
        <v>201010000455</v>
      </c>
      <c r="F119" s="36">
        <v>201010000455</v>
      </c>
      <c r="G119" s="35" t="s">
        <v>50</v>
      </c>
      <c r="H119" s="35" t="s">
        <v>339</v>
      </c>
      <c r="I119" s="35" t="s">
        <v>264</v>
      </c>
      <c r="J119" s="35" t="s">
        <v>12</v>
      </c>
      <c r="K119" s="37">
        <v>193</v>
      </c>
      <c r="L119" s="38">
        <v>6.2039323835196702</v>
      </c>
      <c r="M119" s="38">
        <f t="shared" si="5"/>
        <v>31.109301015706027</v>
      </c>
      <c r="N119" s="36">
        <v>20.287958115183201</v>
      </c>
      <c r="O119" s="39">
        <f t="shared" si="6"/>
        <v>20.287958115183201</v>
      </c>
      <c r="P119" s="37">
        <f t="shared" si="7"/>
        <v>125.86512034627576</v>
      </c>
      <c r="Q119" s="40" t="str">
        <f>IF(ISERROR(I119),"",IF(I119="","",IF(COUNTIF($I$3:I119,I119)&gt;1,"",IFERROR(SUMIFS(Base!$P$3:$P$980,Base!$I$3:$I$980,I119)/SUMIFS(Base!$L$3:$L$980,Base!$I$3:$I$980,I119),0)+ROW()/1000000)))</f>
        <v/>
      </c>
      <c r="R119" s="40" t="str">
        <f>IF(ISERROR(G119),"",IF(G119="","",IF(COUNTIF($G$3:G119,G119)&gt;1,"",IFERROR(SUMIFS(Base!$P$3:$P$980,Base!$G$3:$G$980,G119)/SUMIFS(Base!$L$3:$L$980,Base!$G$3:$G$980,G119),0)+ROW()/1000000)))</f>
        <v/>
      </c>
    </row>
    <row r="120" spans="2:18" ht="14.25" customHeight="1" x14ac:dyDescent="0.35">
      <c r="B120" s="35" t="str">
        <f t="shared" si="4"/>
        <v>201010000455Jpe</v>
      </c>
      <c r="C120" s="35" t="s">
        <v>248</v>
      </c>
      <c r="D120" s="35" t="s">
        <v>249</v>
      </c>
      <c r="E120" s="36">
        <v>201010000455</v>
      </c>
      <c r="F120" s="36">
        <v>201010000455</v>
      </c>
      <c r="G120" s="35" t="s">
        <v>50</v>
      </c>
      <c r="H120" s="35" t="s">
        <v>339</v>
      </c>
      <c r="I120" s="35" t="s">
        <v>264</v>
      </c>
      <c r="J120" s="35" t="s">
        <v>13</v>
      </c>
      <c r="K120" s="37">
        <v>2</v>
      </c>
      <c r="L120" s="38">
        <v>2.50496126839663</v>
      </c>
      <c r="M120" s="38">
        <f t="shared" si="5"/>
        <v>0.79841553848860725</v>
      </c>
      <c r="N120" s="36">
        <v>20</v>
      </c>
      <c r="O120" s="39">
        <f t="shared" si="6"/>
        <v>0.79841553848860725</v>
      </c>
      <c r="P120" s="37">
        <f t="shared" si="7"/>
        <v>2</v>
      </c>
      <c r="Q120" s="40" t="str">
        <f>IF(ISERROR(I120),"",IF(I120="","",IF(COUNTIF($I$3:I120,I120)&gt;1,"",IFERROR(SUMIFS(Base!$P$3:$P$980,Base!$I$3:$I$980,I120)/SUMIFS(Base!$L$3:$L$980,Base!$I$3:$I$980,I120),0)+ROW()/1000000)))</f>
        <v/>
      </c>
      <c r="R120" s="40" t="str">
        <f>IF(ISERROR(G120),"",IF(G120="","",IF(COUNTIF($G$3:G120,G120)&gt;1,"",IFERROR(SUMIFS(Base!$P$3:$P$980,Base!$G$3:$G$980,G120)/SUMIFS(Base!$L$3:$L$980,Base!$G$3:$G$980,G120),0)+ROW()/1000000)))</f>
        <v/>
      </c>
    </row>
    <row r="121" spans="2:18" ht="14.25" customHeight="1" x14ac:dyDescent="0.35">
      <c r="B121" s="35" t="str">
        <f t="shared" si="4"/>
        <v>201010000507Ara</v>
      </c>
      <c r="C121" s="35" t="s">
        <v>248</v>
      </c>
      <c r="D121" s="35" t="s">
        <v>249</v>
      </c>
      <c r="E121" s="36">
        <v>201010000507</v>
      </c>
      <c r="F121" s="36">
        <v>201010000507</v>
      </c>
      <c r="G121" s="35" t="s">
        <v>115</v>
      </c>
      <c r="H121" s="35" t="s">
        <v>340</v>
      </c>
      <c r="I121" s="35" t="s">
        <v>341</v>
      </c>
      <c r="J121" s="35" t="s">
        <v>12</v>
      </c>
      <c r="K121" s="37">
        <v>0</v>
      </c>
      <c r="L121" s="38">
        <v>6.9382795698855197</v>
      </c>
      <c r="M121" s="38">
        <f t="shared" si="5"/>
        <v>0</v>
      </c>
      <c r="N121" s="36">
        <v>19</v>
      </c>
      <c r="O121" s="39">
        <f t="shared" si="6"/>
        <v>0</v>
      </c>
      <c r="P121" s="37">
        <f t="shared" si="7"/>
        <v>0</v>
      </c>
      <c r="Q121" s="40">
        <f>IF(ISERROR(I121),"",IF(I121="","",IF(COUNTIF($I$3:I121,I121)&gt;1,"",IFERROR(SUMIFS(Base!$P$3:$P$980,Base!$I$3:$I$980,I121)/SUMIFS(Base!$L$3:$L$980,Base!$I$3:$I$980,I121),0)+ROW()/1000000)))</f>
        <v>-0.22896310150884563</v>
      </c>
      <c r="R121" s="40" t="str">
        <f>IF(ISERROR(G121),"",IF(G121="","",IF(COUNTIF($G$3:G121,G121)&gt;1,"",IFERROR(SUMIFS(Base!$P$3:$P$980,Base!$G$3:$G$980,G121)/SUMIFS(Base!$L$3:$L$980,Base!$G$3:$G$980,G121),0)+ROW()/1000000)))</f>
        <v/>
      </c>
    </row>
    <row r="122" spans="2:18" ht="14.25" customHeight="1" x14ac:dyDescent="0.35">
      <c r="B122" s="35" t="str">
        <f t="shared" si="4"/>
        <v>201010000507Jpe</v>
      </c>
      <c r="C122" s="35" t="s">
        <v>248</v>
      </c>
      <c r="D122" s="35" t="s">
        <v>249</v>
      </c>
      <c r="E122" s="36">
        <v>201010000507</v>
      </c>
      <c r="F122" s="36">
        <v>201010000507</v>
      </c>
      <c r="G122" s="35" t="s">
        <v>115</v>
      </c>
      <c r="H122" s="35" t="s">
        <v>340</v>
      </c>
      <c r="I122" s="35" t="s">
        <v>341</v>
      </c>
      <c r="J122" s="35" t="s">
        <v>13</v>
      </c>
      <c r="K122" s="37">
        <v>-3</v>
      </c>
      <c r="L122" s="38">
        <v>6.1573476702447199</v>
      </c>
      <c r="M122" s="38">
        <f t="shared" si="5"/>
        <v>-0.48722277198954511</v>
      </c>
      <c r="N122" s="36">
        <v>16</v>
      </c>
      <c r="O122" s="39">
        <f t="shared" si="6"/>
        <v>-0.48722277198954511</v>
      </c>
      <c r="P122" s="37">
        <f t="shared" si="7"/>
        <v>-3</v>
      </c>
      <c r="Q122" s="40" t="str">
        <f>IF(ISERROR(I122),"",IF(I122="","",IF(COUNTIF($I$3:I122,I122)&gt;1,"",IFERROR(SUMIFS(Base!$P$3:$P$980,Base!$I$3:$I$980,I122)/SUMIFS(Base!$L$3:$L$980,Base!$I$3:$I$980,I122),0)+ROW()/1000000)))</f>
        <v/>
      </c>
      <c r="R122" s="40" t="str">
        <f>IF(ISERROR(G122),"",IF(G122="","",IF(COUNTIF($G$3:G122,G122)&gt;1,"",IFERROR(SUMIFS(Base!$P$3:$P$980,Base!$G$3:$G$980,G122)/SUMIFS(Base!$L$3:$L$980,Base!$G$3:$G$980,G122),0)+ROW()/1000000)))</f>
        <v/>
      </c>
    </row>
    <row r="123" spans="2:18" ht="14.25" customHeight="1" x14ac:dyDescent="0.35">
      <c r="B123" s="35" t="str">
        <f t="shared" si="4"/>
        <v>201010000625Ara</v>
      </c>
      <c r="C123" s="35" t="s">
        <v>248</v>
      </c>
      <c r="D123" s="35" t="s">
        <v>237</v>
      </c>
      <c r="E123" s="36">
        <v>201010000625</v>
      </c>
      <c r="F123" s="36">
        <v>201010000625</v>
      </c>
      <c r="G123" s="35" t="s">
        <v>126</v>
      </c>
      <c r="H123" s="35" t="s">
        <v>342</v>
      </c>
      <c r="I123" s="35" t="s">
        <v>343</v>
      </c>
      <c r="J123" s="35" t="s">
        <v>12</v>
      </c>
      <c r="K123" s="37">
        <v>78</v>
      </c>
      <c r="L123" s="38">
        <v>4.1858918038422201</v>
      </c>
      <c r="M123" s="38">
        <f t="shared" si="5"/>
        <v>18.634022008978825</v>
      </c>
      <c r="N123" s="36">
        <v>23.901878914405</v>
      </c>
      <c r="O123" s="39">
        <f t="shared" si="6"/>
        <v>18.634022008978825</v>
      </c>
      <c r="P123" s="37">
        <f t="shared" si="7"/>
        <v>78</v>
      </c>
      <c r="Q123" s="40">
        <f>IF(ISERROR(I123),"",IF(I123="","",IF(COUNTIF($I$3:I123,I123)&gt;1,"",IFERROR(SUMIFS(Base!$P$3:$P$980,Base!$I$3:$I$980,I123)/SUMIFS(Base!$L$3:$L$980,Base!$I$3:$I$980,I123),0)+ROW()/1000000)))</f>
        <v>15.389713724135889</v>
      </c>
      <c r="R123" s="40" t="str">
        <f>IF(ISERROR(G123),"",IF(G123="","",IF(COUNTIF($G$3:G123,G123)&gt;1,"",IFERROR(SUMIFS(Base!$P$3:$P$980,Base!$G$3:$G$980,G123)/SUMIFS(Base!$L$3:$L$980,Base!$G$3:$G$980,G123),0)+ROW()/1000000)))</f>
        <v/>
      </c>
    </row>
    <row r="124" spans="2:18" ht="14.25" customHeight="1" x14ac:dyDescent="0.35">
      <c r="B124" s="35" t="str">
        <f t="shared" si="4"/>
        <v>201010000625Jpe</v>
      </c>
      <c r="C124" s="35" t="s">
        <v>248</v>
      </c>
      <c r="D124" s="35" t="s">
        <v>237</v>
      </c>
      <c r="E124" s="36">
        <v>201010000625</v>
      </c>
      <c r="F124" s="36">
        <v>201010000625</v>
      </c>
      <c r="G124" s="35" t="s">
        <v>126</v>
      </c>
      <c r="H124" s="35" t="s">
        <v>342</v>
      </c>
      <c r="I124" s="35" t="s">
        <v>343</v>
      </c>
      <c r="J124" s="35" t="s">
        <v>13</v>
      </c>
      <c r="K124" s="37">
        <v>32</v>
      </c>
      <c r="L124" s="38">
        <v>2.9617966546613701</v>
      </c>
      <c r="M124" s="38">
        <f t="shared" si="5"/>
        <v>10.804252867811631</v>
      </c>
      <c r="N124" s="36">
        <v>23</v>
      </c>
      <c r="O124" s="39">
        <f t="shared" si="6"/>
        <v>10.804252867811631</v>
      </c>
      <c r="P124" s="37">
        <f t="shared" si="7"/>
        <v>32</v>
      </c>
      <c r="Q124" s="40" t="str">
        <f>IF(ISERROR(I124),"",IF(I124="","",IF(COUNTIF($I$3:I124,I124)&gt;1,"",IFERROR(SUMIFS(Base!$P$3:$P$980,Base!$I$3:$I$980,I124)/SUMIFS(Base!$L$3:$L$980,Base!$I$3:$I$980,I124),0)+ROW()/1000000)))</f>
        <v/>
      </c>
      <c r="R124" s="40" t="str">
        <f>IF(ISERROR(G124),"",IF(G124="","",IF(COUNTIF($G$3:G124,G124)&gt;1,"",IFERROR(SUMIFS(Base!$P$3:$P$980,Base!$G$3:$G$980,G124)/SUMIFS(Base!$L$3:$L$980,Base!$G$3:$G$980,G124),0)+ROW()/1000000)))</f>
        <v/>
      </c>
    </row>
    <row r="125" spans="2:18" ht="14.25" customHeight="1" x14ac:dyDescent="0.35">
      <c r="B125" s="35" t="str">
        <f t="shared" si="4"/>
        <v>201010000561Ara</v>
      </c>
      <c r="C125" s="35" t="s">
        <v>248</v>
      </c>
      <c r="D125" s="35" t="s">
        <v>249</v>
      </c>
      <c r="E125" s="36">
        <v>201010000561</v>
      </c>
      <c r="F125" s="36">
        <v>201010000561</v>
      </c>
      <c r="G125" s="35" t="s">
        <v>50</v>
      </c>
      <c r="H125" s="35" t="s">
        <v>344</v>
      </c>
      <c r="I125" s="35" t="s">
        <v>284</v>
      </c>
      <c r="J125" s="35" t="s">
        <v>12</v>
      </c>
      <c r="K125" s="37">
        <v>64</v>
      </c>
      <c r="L125" s="38">
        <v>5.0277885255684698</v>
      </c>
      <c r="M125" s="38">
        <f t="shared" si="5"/>
        <v>12.72925455685585</v>
      </c>
      <c r="N125" s="36">
        <v>23</v>
      </c>
      <c r="O125" s="39">
        <f t="shared" si="6"/>
        <v>12.72925455685585</v>
      </c>
      <c r="P125" s="37">
        <f t="shared" si="7"/>
        <v>64</v>
      </c>
      <c r="Q125" s="40" t="str">
        <f>IF(ISERROR(I125),"",IF(I125="","",IF(COUNTIF($I$3:I125,I125)&gt;1,"",IFERROR(SUMIFS(Base!$P$3:$P$980,Base!$I$3:$I$980,I125)/SUMIFS(Base!$L$3:$L$980,Base!$I$3:$I$980,I125),0)+ROW()/1000000)))</f>
        <v/>
      </c>
      <c r="R125" s="40" t="str">
        <f>IF(ISERROR(G125),"",IF(G125="","",IF(COUNTIF($G$3:G125,G125)&gt;1,"",IFERROR(SUMIFS(Base!$P$3:$P$980,Base!$G$3:$G$980,G125)/SUMIFS(Base!$L$3:$L$980,Base!$G$3:$G$980,G125),0)+ROW()/1000000)))</f>
        <v/>
      </c>
    </row>
    <row r="126" spans="2:18" ht="14.25" customHeight="1" x14ac:dyDescent="0.35">
      <c r="B126" s="35" t="str">
        <f t="shared" si="4"/>
        <v>201010000561Jpe</v>
      </c>
      <c r="C126" s="35" t="s">
        <v>248</v>
      </c>
      <c r="D126" s="35" t="s">
        <v>249</v>
      </c>
      <c r="E126" s="36">
        <v>201010000561</v>
      </c>
      <c r="F126" s="36">
        <v>201010000561</v>
      </c>
      <c r="G126" s="35" t="s">
        <v>50</v>
      </c>
      <c r="H126" s="35" t="s">
        <v>344</v>
      </c>
      <c r="I126" s="35" t="s">
        <v>284</v>
      </c>
      <c r="J126" s="35" t="s">
        <v>13</v>
      </c>
      <c r="K126" s="37">
        <v>128</v>
      </c>
      <c r="L126" s="38">
        <v>2.27524025147234</v>
      </c>
      <c r="M126" s="38">
        <f t="shared" si="5"/>
        <v>56.25779515687163</v>
      </c>
      <c r="N126" s="36">
        <v>24</v>
      </c>
      <c r="O126" s="39">
        <f t="shared" si="6"/>
        <v>24</v>
      </c>
      <c r="P126" s="37">
        <f t="shared" si="7"/>
        <v>54.60576603533616</v>
      </c>
      <c r="Q126" s="40" t="str">
        <f>IF(ISERROR(I126),"",IF(I126="","",IF(COUNTIF($I$3:I126,I126)&gt;1,"",IFERROR(SUMIFS(Base!$P$3:$P$980,Base!$I$3:$I$980,I126)/SUMIFS(Base!$L$3:$L$980,Base!$I$3:$I$980,I126),0)+ROW()/1000000)))</f>
        <v/>
      </c>
      <c r="R126" s="40" t="str">
        <f>IF(ISERROR(G126),"",IF(G126="","",IF(COUNTIF($G$3:G126,G126)&gt;1,"",IFERROR(SUMIFS(Base!$P$3:$P$980,Base!$G$3:$G$980,G126)/SUMIFS(Base!$L$3:$L$980,Base!$G$3:$G$980,G126),0)+ROW()/1000000)))</f>
        <v/>
      </c>
    </row>
    <row r="127" spans="2:18" ht="14.25" customHeight="1" x14ac:dyDescent="0.35">
      <c r="B127" s="35" t="str">
        <f t="shared" si="4"/>
        <v>201030000501Ara</v>
      </c>
      <c r="C127" s="35" t="s">
        <v>248</v>
      </c>
      <c r="D127" s="35" t="s">
        <v>249</v>
      </c>
      <c r="E127" s="36">
        <v>201030000501</v>
      </c>
      <c r="F127" s="36">
        <v>201030000501</v>
      </c>
      <c r="G127" s="35" t="s">
        <v>65</v>
      </c>
      <c r="H127" s="35" t="s">
        <v>345</v>
      </c>
      <c r="I127" s="35" t="s">
        <v>268</v>
      </c>
      <c r="J127" s="35" t="s">
        <v>12</v>
      </c>
      <c r="K127" s="37">
        <v>356</v>
      </c>
      <c r="L127" s="38">
        <v>6.2459187766632999E-2</v>
      </c>
      <c r="M127" s="38">
        <f t="shared" si="5"/>
        <v>5699.7218940810917</v>
      </c>
      <c r="N127" s="36">
        <v>19.637404580152701</v>
      </c>
      <c r="O127" s="39">
        <f t="shared" si="6"/>
        <v>19.637404580152701</v>
      </c>
      <c r="P127" s="37">
        <f t="shared" si="7"/>
        <v>1.2265363399210965</v>
      </c>
      <c r="Q127" s="40" t="str">
        <f>IF(ISERROR(I127),"",IF(I127="","",IF(COUNTIF($I$3:I127,I127)&gt;1,"",IFERROR(SUMIFS(Base!$P$3:$P$980,Base!$I$3:$I$980,I127)/SUMIFS(Base!$L$3:$L$980,Base!$I$3:$I$980,I127),0)+ROW()/1000000)))</f>
        <v/>
      </c>
      <c r="R127" s="40" t="str">
        <f>IF(ISERROR(G127),"",IF(G127="","",IF(COUNTIF($G$3:G127,G127)&gt;1,"",IFERROR(SUMIFS(Base!$P$3:$P$980,Base!$G$3:$G$980,G127)/SUMIFS(Base!$L$3:$L$980,Base!$G$3:$G$980,G127),0)+ROW()/1000000)))</f>
        <v/>
      </c>
    </row>
    <row r="128" spans="2:18" ht="14.25" customHeight="1" x14ac:dyDescent="0.35">
      <c r="B128" s="35" t="str">
        <f t="shared" si="4"/>
        <v>201030000501Jpe</v>
      </c>
      <c r="C128" s="35" t="s">
        <v>248</v>
      </c>
      <c r="D128" s="35" t="s">
        <v>249</v>
      </c>
      <c r="E128" s="36">
        <v>201030000501</v>
      </c>
      <c r="F128" s="36">
        <v>201030000501</v>
      </c>
      <c r="G128" s="35" t="s">
        <v>65</v>
      </c>
      <c r="H128" s="35" t="s">
        <v>345</v>
      </c>
      <c r="I128" s="35" t="s">
        <v>268</v>
      </c>
      <c r="J128" s="35" t="s">
        <v>13</v>
      </c>
      <c r="K128" s="37">
        <v>61</v>
      </c>
      <c r="L128" s="38">
        <v>2.1212293073366899</v>
      </c>
      <c r="M128" s="38">
        <f t="shared" si="5"/>
        <v>28.756909867791979</v>
      </c>
      <c r="N128" s="36">
        <v>23</v>
      </c>
      <c r="O128" s="39">
        <f t="shared" si="6"/>
        <v>23</v>
      </c>
      <c r="P128" s="37">
        <f t="shared" si="7"/>
        <v>48.788274068743867</v>
      </c>
      <c r="Q128" s="40" t="str">
        <f>IF(ISERROR(I128),"",IF(I128="","",IF(COUNTIF($I$3:I128,I128)&gt;1,"",IFERROR(SUMIFS(Base!$P$3:$P$980,Base!$I$3:$I$980,I128)/SUMIFS(Base!$L$3:$L$980,Base!$I$3:$I$980,I128),0)+ROW()/1000000)))</f>
        <v/>
      </c>
      <c r="R128" s="40" t="str">
        <f>IF(ISERROR(G128),"",IF(G128="","",IF(COUNTIF($G$3:G128,G128)&gt;1,"",IFERROR(SUMIFS(Base!$P$3:$P$980,Base!$G$3:$G$980,G128)/SUMIFS(Base!$L$3:$L$980,Base!$G$3:$G$980,G128),0)+ROW()/1000000)))</f>
        <v/>
      </c>
    </row>
    <row r="129" spans="2:18" ht="14.25" customHeight="1" x14ac:dyDescent="0.35">
      <c r="B129" s="35" t="str">
        <f t="shared" si="4"/>
        <v>201030000166Ara</v>
      </c>
      <c r="C129" s="35" t="s">
        <v>248</v>
      </c>
      <c r="D129" s="35" t="s">
        <v>249</v>
      </c>
      <c r="E129" s="36">
        <v>201030000166</v>
      </c>
      <c r="F129" s="36">
        <v>201030000166</v>
      </c>
      <c r="G129" s="35" t="s">
        <v>65</v>
      </c>
      <c r="H129" s="35" t="s">
        <v>346</v>
      </c>
      <c r="I129" s="35" t="s">
        <v>347</v>
      </c>
      <c r="J129" s="35" t="s">
        <v>12</v>
      </c>
      <c r="K129" s="37">
        <v>163</v>
      </c>
      <c r="L129" s="38">
        <v>4.1450588705532398</v>
      </c>
      <c r="M129" s="38">
        <f t="shared" si="5"/>
        <v>39.323928824741742</v>
      </c>
      <c r="N129" s="36">
        <v>32.125698324022302</v>
      </c>
      <c r="O129" s="39">
        <f t="shared" si="6"/>
        <v>32.125698324022302</v>
      </c>
      <c r="P129" s="37">
        <f t="shared" si="7"/>
        <v>133.16291081070599</v>
      </c>
      <c r="Q129" s="40">
        <f>IF(ISERROR(I129),"",IF(I129="","",IF(COUNTIF($I$3:I129,I129)&gt;1,"",IFERROR(SUMIFS(Base!$P$3:$P$980,Base!$I$3:$I$980,I129)/SUMIFS(Base!$L$3:$L$980,Base!$I$3:$I$980,I129),0)+ROW()/1000000)))</f>
        <v>17.597682110872405</v>
      </c>
      <c r="R129" s="40" t="str">
        <f>IF(ISERROR(G129),"",IF(G129="","",IF(COUNTIF($G$3:G129,G129)&gt;1,"",IFERROR(SUMIFS(Base!$P$3:$P$980,Base!$G$3:$G$980,G129)/SUMIFS(Base!$L$3:$L$980,Base!$G$3:$G$980,G129),0)+ROW()/1000000)))</f>
        <v/>
      </c>
    </row>
    <row r="130" spans="2:18" ht="14.25" customHeight="1" x14ac:dyDescent="0.35">
      <c r="B130" s="35" t="str">
        <f t="shared" si="4"/>
        <v>201030000166Jpe</v>
      </c>
      <c r="C130" s="35" t="s">
        <v>248</v>
      </c>
      <c r="D130" s="35" t="s">
        <v>249</v>
      </c>
      <c r="E130" s="36">
        <v>201030000166</v>
      </c>
      <c r="F130" s="36">
        <v>201030000166</v>
      </c>
      <c r="G130" s="35" t="s">
        <v>65</v>
      </c>
      <c r="H130" s="35" t="s">
        <v>346</v>
      </c>
      <c r="I130" s="35" t="s">
        <v>347</v>
      </c>
      <c r="J130" s="35" t="s">
        <v>13</v>
      </c>
      <c r="K130" s="37">
        <v>105</v>
      </c>
      <c r="L130" s="38">
        <v>4.0405716841837496</v>
      </c>
      <c r="M130" s="38">
        <f t="shared" si="5"/>
        <v>25.986421775663022</v>
      </c>
      <c r="N130" s="36">
        <v>17</v>
      </c>
      <c r="O130" s="39">
        <f t="shared" si="6"/>
        <v>17</v>
      </c>
      <c r="P130" s="37">
        <f t="shared" si="7"/>
        <v>68.689718631123739</v>
      </c>
      <c r="Q130" s="40" t="str">
        <f>IF(ISERROR(I130),"",IF(I130="","",IF(COUNTIF($I$3:I130,I130)&gt;1,"",IFERROR(SUMIFS(Base!$P$3:$P$980,Base!$I$3:$I$980,I130)/SUMIFS(Base!$L$3:$L$980,Base!$I$3:$I$980,I130),0)+ROW()/1000000)))</f>
        <v/>
      </c>
      <c r="R130" s="40" t="str">
        <f>IF(ISERROR(G130),"",IF(G130="","",IF(COUNTIF($G$3:G130,G130)&gt;1,"",IFERROR(SUMIFS(Base!$P$3:$P$980,Base!$G$3:$G$980,G130)/SUMIFS(Base!$L$3:$L$980,Base!$G$3:$G$980,G130),0)+ROW()/1000000)))</f>
        <v/>
      </c>
    </row>
    <row r="131" spans="2:18" ht="14.25" customHeight="1" x14ac:dyDescent="0.35">
      <c r="B131" s="35" t="str">
        <f t="shared" ref="B131:B190" si="8">E131&amp;J131</f>
        <v>221000000855Ara</v>
      </c>
      <c r="C131" s="35" t="s">
        <v>248</v>
      </c>
      <c r="D131" s="35" t="s">
        <v>249</v>
      </c>
      <c r="E131" s="36">
        <v>221000000855</v>
      </c>
      <c r="F131" s="36">
        <v>221000000855</v>
      </c>
      <c r="G131" s="35" t="s">
        <v>126</v>
      </c>
      <c r="H131" s="35" t="s">
        <v>348</v>
      </c>
      <c r="I131" s="35" t="s">
        <v>349</v>
      </c>
      <c r="J131" s="35" t="s">
        <v>12</v>
      </c>
      <c r="K131" s="37">
        <v>93</v>
      </c>
      <c r="L131" s="38">
        <v>4.8880911963898601</v>
      </c>
      <c r="M131" s="38">
        <f t="shared" ref="M131:M190" si="9">IFERROR(K131/L131,0)</f>
        <v>19.025831610647099</v>
      </c>
      <c r="N131" s="36">
        <v>15</v>
      </c>
      <c r="O131" s="39">
        <f t="shared" ref="O131:O190" si="10">IF(M131&gt;N131,N131,M131)</f>
        <v>15</v>
      </c>
      <c r="P131" s="37">
        <f t="shared" ref="P131:P190" si="11">O131*L131</f>
        <v>73.321367945847896</v>
      </c>
      <c r="Q131" s="40">
        <f>IF(ISERROR(I131),"",IF(I131="","",IF(COUNTIF($I$3:I131,I131)&gt;1,"",IFERROR(SUMIFS(Base!$P$3:$P$980,Base!$I$3:$I$980,I131)/SUMIFS(Base!$L$3:$L$980,Base!$I$3:$I$980,I131),0)+ROW()/1000000)))</f>
        <v>13.56801715054427</v>
      </c>
      <c r="R131" s="40" t="str">
        <f>IF(ISERROR(G131),"",IF(G131="","",IF(COUNTIF($G$3:G131,G131)&gt;1,"",IFERROR(SUMIFS(Base!$P$3:$P$980,Base!$G$3:$G$980,G131)/SUMIFS(Base!$L$3:$L$980,Base!$G$3:$G$980,G131),0)+ROW()/1000000)))</f>
        <v/>
      </c>
    </row>
    <row r="132" spans="2:18" ht="14.25" customHeight="1" x14ac:dyDescent="0.35">
      <c r="B132" s="35" t="str">
        <f t="shared" si="8"/>
        <v>221000000855Jpe</v>
      </c>
      <c r="C132" s="35" t="s">
        <v>248</v>
      </c>
      <c r="D132" s="35" t="s">
        <v>249</v>
      </c>
      <c r="E132" s="36">
        <v>221000000855</v>
      </c>
      <c r="F132" s="36">
        <v>221000000855</v>
      </c>
      <c r="G132" s="35" t="s">
        <v>126</v>
      </c>
      <c r="H132" s="35" t="s">
        <v>348</v>
      </c>
      <c r="I132" s="35" t="s">
        <v>349</v>
      </c>
      <c r="J132" s="35" t="s">
        <v>13</v>
      </c>
      <c r="K132" s="37">
        <v>0</v>
      </c>
      <c r="L132" s="38">
        <v>0.51594647995124399</v>
      </c>
      <c r="M132" s="38">
        <f t="shared" si="9"/>
        <v>0</v>
      </c>
      <c r="N132" s="36">
        <v>15</v>
      </c>
      <c r="O132" s="39">
        <f t="shared" si="10"/>
        <v>0</v>
      </c>
      <c r="P132" s="37">
        <f t="shared" si="11"/>
        <v>0</v>
      </c>
      <c r="Q132" s="40" t="str">
        <f>IF(ISERROR(I132),"",IF(I132="","",IF(COUNTIF($I$3:I132,I132)&gt;1,"",IFERROR(SUMIFS(Base!$P$3:$P$980,Base!$I$3:$I$980,I132)/SUMIFS(Base!$L$3:$L$980,Base!$I$3:$I$980,I132),0)+ROW()/1000000)))</f>
        <v/>
      </c>
      <c r="R132" s="40" t="str">
        <f>IF(ISERROR(G132),"",IF(G132="","",IF(COUNTIF($G$3:G132,G132)&gt;1,"",IFERROR(SUMIFS(Base!$P$3:$P$980,Base!$G$3:$G$980,G132)/SUMIFS(Base!$L$3:$L$980,Base!$G$3:$G$980,G132),0)+ROW()/1000000)))</f>
        <v/>
      </c>
    </row>
    <row r="133" spans="2:18" ht="14.25" customHeight="1" x14ac:dyDescent="0.35">
      <c r="B133" s="35" t="str">
        <f t="shared" si="8"/>
        <v>201030000500Ara</v>
      </c>
      <c r="C133" s="35" t="s">
        <v>248</v>
      </c>
      <c r="D133" s="35" t="s">
        <v>249</v>
      </c>
      <c r="E133" s="36">
        <v>201030000500</v>
      </c>
      <c r="F133" s="36">
        <v>201030000500</v>
      </c>
      <c r="G133" s="35" t="s">
        <v>65</v>
      </c>
      <c r="H133" s="35" t="s">
        <v>350</v>
      </c>
      <c r="I133" s="35" t="s">
        <v>290</v>
      </c>
      <c r="J133" s="35" t="s">
        <v>12</v>
      </c>
      <c r="K133" s="37">
        <v>219</v>
      </c>
      <c r="L133" s="38">
        <v>4.6322308467741999</v>
      </c>
      <c r="M133" s="38">
        <f t="shared" si="9"/>
        <v>47.277436562236005</v>
      </c>
      <c r="N133" s="36">
        <v>20.948717948717999</v>
      </c>
      <c r="O133" s="39">
        <f t="shared" si="10"/>
        <v>20.948717948717999</v>
      </c>
      <c r="P133" s="37">
        <f t="shared" si="11"/>
        <v>97.039297482423862</v>
      </c>
      <c r="Q133" s="40" t="str">
        <f>IF(ISERROR(I133),"",IF(I133="","",IF(COUNTIF($I$3:I133,I133)&gt;1,"",IFERROR(SUMIFS(Base!$P$3:$P$980,Base!$I$3:$I$980,I133)/SUMIFS(Base!$L$3:$L$980,Base!$I$3:$I$980,I133),0)+ROW()/1000000)))</f>
        <v/>
      </c>
      <c r="R133" s="40" t="str">
        <f>IF(ISERROR(G133),"",IF(G133="","",IF(COUNTIF($G$3:G133,G133)&gt;1,"",IFERROR(SUMIFS(Base!$P$3:$P$980,Base!$G$3:$G$980,G133)/SUMIFS(Base!$L$3:$L$980,Base!$G$3:$G$980,G133),0)+ROW()/1000000)))</f>
        <v/>
      </c>
    </row>
    <row r="134" spans="2:18" ht="14.25" customHeight="1" x14ac:dyDescent="0.35">
      <c r="B134" s="35" t="str">
        <f t="shared" si="8"/>
        <v>201030000500Jpe</v>
      </c>
      <c r="C134" s="35" t="s">
        <v>248</v>
      </c>
      <c r="D134" s="35" t="s">
        <v>249</v>
      </c>
      <c r="E134" s="36">
        <v>201030000500</v>
      </c>
      <c r="F134" s="36">
        <v>201030000500</v>
      </c>
      <c r="G134" s="35" t="s">
        <v>65</v>
      </c>
      <c r="H134" s="35" t="s">
        <v>350</v>
      </c>
      <c r="I134" s="35" t="s">
        <v>290</v>
      </c>
      <c r="J134" s="35" t="s">
        <v>13</v>
      </c>
      <c r="K134" s="37">
        <v>26</v>
      </c>
      <c r="L134" s="38">
        <v>3.6692066532258099</v>
      </c>
      <c r="M134" s="38">
        <f t="shared" si="9"/>
        <v>7.0860004511171129</v>
      </c>
      <c r="N134" s="36">
        <v>18</v>
      </c>
      <c r="O134" s="39">
        <f t="shared" si="10"/>
        <v>7.0860004511171129</v>
      </c>
      <c r="P134" s="37">
        <f t="shared" si="11"/>
        <v>26</v>
      </c>
      <c r="Q134" s="40" t="str">
        <f>IF(ISERROR(I134),"",IF(I134="","",IF(COUNTIF($I$3:I134,I134)&gt;1,"",IFERROR(SUMIFS(Base!$P$3:$P$980,Base!$I$3:$I$980,I134)/SUMIFS(Base!$L$3:$L$980,Base!$I$3:$I$980,I134),0)+ROW()/1000000)))</f>
        <v/>
      </c>
      <c r="R134" s="40" t="str">
        <f>IF(ISERROR(G134),"",IF(G134="","",IF(COUNTIF($G$3:G134,G134)&gt;1,"",IFERROR(SUMIFS(Base!$P$3:$P$980,Base!$G$3:$G$980,G134)/SUMIFS(Base!$L$3:$L$980,Base!$G$3:$G$980,G134),0)+ROW()/1000000)))</f>
        <v/>
      </c>
    </row>
    <row r="135" spans="2:18" ht="14.25" customHeight="1" x14ac:dyDescent="0.35">
      <c r="B135" s="35" t="str">
        <f t="shared" si="8"/>
        <v>201030000412Ara</v>
      </c>
      <c r="C135" s="35" t="s">
        <v>248</v>
      </c>
      <c r="D135" s="35" t="s">
        <v>249</v>
      </c>
      <c r="E135" s="36">
        <v>201030000412</v>
      </c>
      <c r="F135" s="36">
        <v>201030000412</v>
      </c>
      <c r="G135" s="35" t="s">
        <v>65</v>
      </c>
      <c r="H135" s="35" t="s">
        <v>351</v>
      </c>
      <c r="I135" s="35" t="s">
        <v>347</v>
      </c>
      <c r="J135" s="35" t="s">
        <v>12</v>
      </c>
      <c r="K135" s="37">
        <v>245</v>
      </c>
      <c r="L135" s="38">
        <v>5.3521167741935303</v>
      </c>
      <c r="M135" s="38">
        <f t="shared" si="9"/>
        <v>45.776280738365834</v>
      </c>
      <c r="N135" s="36">
        <v>33.282539682539699</v>
      </c>
      <c r="O135" s="39">
        <f t="shared" si="10"/>
        <v>33.282539682539699</v>
      </c>
      <c r="P135" s="37">
        <f t="shared" si="11"/>
        <v>178.13203892268254</v>
      </c>
      <c r="Q135" s="40" t="str">
        <f>IF(ISERROR(I135),"",IF(I135="","",IF(COUNTIF($I$3:I135,I135)&gt;1,"",IFERROR(SUMIFS(Base!$P$3:$P$980,Base!$I$3:$I$980,I135)/SUMIFS(Base!$L$3:$L$980,Base!$I$3:$I$980,I135),0)+ROW()/1000000)))</f>
        <v/>
      </c>
      <c r="R135" s="40" t="str">
        <f>IF(ISERROR(G135),"",IF(G135="","",IF(COUNTIF($G$3:G135,G135)&gt;1,"",IFERROR(SUMIFS(Base!$P$3:$P$980,Base!$G$3:$G$980,G135)/SUMIFS(Base!$L$3:$L$980,Base!$G$3:$G$980,G135),0)+ROW()/1000000)))</f>
        <v/>
      </c>
    </row>
    <row r="136" spans="2:18" ht="14.25" customHeight="1" x14ac:dyDescent="0.35">
      <c r="B136" s="35" t="str">
        <f t="shared" si="8"/>
        <v>201030000412Jpe</v>
      </c>
      <c r="C136" s="35" t="s">
        <v>248</v>
      </c>
      <c r="D136" s="35" t="s">
        <v>249</v>
      </c>
      <c r="E136" s="36">
        <v>201030000412</v>
      </c>
      <c r="F136" s="36">
        <v>201030000412</v>
      </c>
      <c r="G136" s="35" t="s">
        <v>65</v>
      </c>
      <c r="H136" s="35" t="s">
        <v>351</v>
      </c>
      <c r="I136" s="35" t="s">
        <v>347</v>
      </c>
      <c r="J136" s="35" t="s">
        <v>13</v>
      </c>
      <c r="K136" s="37">
        <v>49</v>
      </c>
      <c r="L136" s="38">
        <v>4.31272645161288</v>
      </c>
      <c r="M136" s="38">
        <f t="shared" si="9"/>
        <v>11.361722230649455</v>
      </c>
      <c r="N136" s="36">
        <v>17</v>
      </c>
      <c r="O136" s="39">
        <f t="shared" si="10"/>
        <v>11.361722230649455</v>
      </c>
      <c r="P136" s="37">
        <f t="shared" si="11"/>
        <v>49</v>
      </c>
      <c r="Q136" s="40" t="str">
        <f>IF(ISERROR(I136),"",IF(I136="","",IF(COUNTIF($I$3:I136,I136)&gt;1,"",IFERROR(SUMIFS(Base!$P$3:$P$980,Base!$I$3:$I$980,I136)/SUMIFS(Base!$L$3:$L$980,Base!$I$3:$I$980,I136),0)+ROW()/1000000)))</f>
        <v/>
      </c>
      <c r="R136" s="40" t="str">
        <f>IF(ISERROR(G136),"",IF(G136="","",IF(COUNTIF($G$3:G136,G136)&gt;1,"",IFERROR(SUMIFS(Base!$P$3:$P$980,Base!$G$3:$G$980,G136)/SUMIFS(Base!$L$3:$L$980,Base!$G$3:$G$980,G136),0)+ROW()/1000000)))</f>
        <v/>
      </c>
    </row>
    <row r="137" spans="2:18" ht="14.25" customHeight="1" x14ac:dyDescent="0.35">
      <c r="B137" s="35" t="str">
        <f t="shared" si="8"/>
        <v>201010000562Ara</v>
      </c>
      <c r="C137" s="35" t="s">
        <v>248</v>
      </c>
      <c r="D137" s="35" t="s">
        <v>249</v>
      </c>
      <c r="E137" s="36">
        <v>201010000562</v>
      </c>
      <c r="F137" s="36">
        <v>201010000562</v>
      </c>
      <c r="G137" s="35" t="s">
        <v>50</v>
      </c>
      <c r="H137" s="35" t="s">
        <v>352</v>
      </c>
      <c r="I137" s="35" t="s">
        <v>264</v>
      </c>
      <c r="J137" s="35" t="s">
        <v>12</v>
      </c>
      <c r="K137" s="37">
        <v>72</v>
      </c>
      <c r="L137" s="38">
        <v>4.7625329878985001</v>
      </c>
      <c r="M137" s="38">
        <f t="shared" si="9"/>
        <v>15.118005519951367</v>
      </c>
      <c r="N137" s="36">
        <v>19.661179698216699</v>
      </c>
      <c r="O137" s="39">
        <f t="shared" si="10"/>
        <v>15.118005519951367</v>
      </c>
      <c r="P137" s="37">
        <f t="shared" si="11"/>
        <v>72</v>
      </c>
      <c r="Q137" s="40" t="str">
        <f>IF(ISERROR(I137),"",IF(I137="","",IF(COUNTIF($I$3:I137,I137)&gt;1,"",IFERROR(SUMIFS(Base!$P$3:$P$980,Base!$I$3:$I$980,I137)/SUMIFS(Base!$L$3:$L$980,Base!$I$3:$I$980,I137),0)+ROW()/1000000)))</f>
        <v/>
      </c>
      <c r="R137" s="40" t="str">
        <f>IF(ISERROR(G137),"",IF(G137="","",IF(COUNTIF($G$3:G137,G137)&gt;1,"",IFERROR(SUMIFS(Base!$P$3:$P$980,Base!$G$3:$G$980,G137)/SUMIFS(Base!$L$3:$L$980,Base!$G$3:$G$980,G137),0)+ROW()/1000000)))</f>
        <v/>
      </c>
    </row>
    <row r="138" spans="2:18" ht="14.25" customHeight="1" x14ac:dyDescent="0.35">
      <c r="B138" s="35" t="str">
        <f t="shared" si="8"/>
        <v>201010000562Jpe</v>
      </c>
      <c r="C138" s="35" t="s">
        <v>248</v>
      </c>
      <c r="D138" s="35" t="s">
        <v>249</v>
      </c>
      <c r="E138" s="36">
        <v>201010000562</v>
      </c>
      <c r="F138" s="36">
        <v>201010000562</v>
      </c>
      <c r="G138" s="35" t="s">
        <v>50</v>
      </c>
      <c r="H138" s="35" t="s">
        <v>352</v>
      </c>
      <c r="I138" s="35" t="s">
        <v>264</v>
      </c>
      <c r="J138" s="35" t="s">
        <v>13</v>
      </c>
      <c r="K138" s="37">
        <v>101</v>
      </c>
      <c r="L138" s="38">
        <v>1.96239471689445</v>
      </c>
      <c r="M138" s="38">
        <f t="shared" si="9"/>
        <v>51.467729264903241</v>
      </c>
      <c r="N138" s="36">
        <v>22</v>
      </c>
      <c r="O138" s="39">
        <f t="shared" si="10"/>
        <v>22</v>
      </c>
      <c r="P138" s="37">
        <f t="shared" si="11"/>
        <v>43.172683771677903</v>
      </c>
      <c r="Q138" s="40" t="str">
        <f>IF(ISERROR(I138),"",IF(I138="","",IF(COUNTIF($I$3:I138,I138)&gt;1,"",IFERROR(SUMIFS(Base!$P$3:$P$980,Base!$I$3:$I$980,I138)/SUMIFS(Base!$L$3:$L$980,Base!$I$3:$I$980,I138),0)+ROW()/1000000)))</f>
        <v/>
      </c>
      <c r="R138" s="40" t="str">
        <f>IF(ISERROR(G138),"",IF(G138="","",IF(COUNTIF($G$3:G138,G138)&gt;1,"",IFERROR(SUMIFS(Base!$P$3:$P$980,Base!$G$3:$G$980,G138)/SUMIFS(Base!$L$3:$L$980,Base!$G$3:$G$980,G138),0)+ROW()/1000000)))</f>
        <v/>
      </c>
    </row>
    <row r="139" spans="2:18" ht="14.25" customHeight="1" x14ac:dyDescent="0.35">
      <c r="B139" s="35" t="str">
        <f t="shared" si="8"/>
        <v>201010000506Ara</v>
      </c>
      <c r="C139" s="35" t="s">
        <v>248</v>
      </c>
      <c r="D139" s="35" t="s">
        <v>249</v>
      </c>
      <c r="E139" s="36">
        <v>201010000506</v>
      </c>
      <c r="F139" s="36">
        <v>201010000506</v>
      </c>
      <c r="G139" s="35" t="s">
        <v>115</v>
      </c>
      <c r="H139" s="35" t="s">
        <v>353</v>
      </c>
      <c r="I139" s="35" t="s">
        <v>337</v>
      </c>
      <c r="J139" s="35" t="s">
        <v>12</v>
      </c>
      <c r="K139" s="37">
        <v>42</v>
      </c>
      <c r="L139" s="38">
        <v>3.47327278469028</v>
      </c>
      <c r="M139" s="38">
        <f t="shared" si="9"/>
        <v>12.092341317137645</v>
      </c>
      <c r="N139" s="36">
        <v>18</v>
      </c>
      <c r="O139" s="39">
        <f t="shared" si="10"/>
        <v>12.092341317137645</v>
      </c>
      <c r="P139" s="37">
        <f t="shared" si="11"/>
        <v>42</v>
      </c>
      <c r="Q139" s="40" t="str">
        <f>IF(ISERROR(I139),"",IF(I139="","",IF(COUNTIF($I$3:I139,I139)&gt;1,"",IFERROR(SUMIFS(Base!$P$3:$P$980,Base!$I$3:$I$980,I139)/SUMIFS(Base!$L$3:$L$980,Base!$I$3:$I$980,I139),0)+ROW()/1000000)))</f>
        <v/>
      </c>
      <c r="R139" s="40" t="str">
        <f>IF(ISERROR(G139),"",IF(G139="","",IF(COUNTIF($G$3:G139,G139)&gt;1,"",IFERROR(SUMIFS(Base!$P$3:$P$980,Base!$G$3:$G$980,G139)/SUMIFS(Base!$L$3:$L$980,Base!$G$3:$G$980,G139),0)+ROW()/1000000)))</f>
        <v/>
      </c>
    </row>
    <row r="140" spans="2:18" ht="14.25" customHeight="1" x14ac:dyDescent="0.35">
      <c r="B140" s="35" t="str">
        <f t="shared" si="8"/>
        <v>201010000506Jpe</v>
      </c>
      <c r="C140" s="35" t="s">
        <v>248</v>
      </c>
      <c r="D140" s="35" t="s">
        <v>249</v>
      </c>
      <c r="E140" s="36">
        <v>201010000506</v>
      </c>
      <c r="F140" s="36">
        <v>201010000506</v>
      </c>
      <c r="G140" s="35" t="s">
        <v>115</v>
      </c>
      <c r="H140" s="35" t="s">
        <v>353</v>
      </c>
      <c r="I140" s="35" t="s">
        <v>337</v>
      </c>
      <c r="J140" s="35" t="s">
        <v>13</v>
      </c>
      <c r="K140" s="37">
        <v>30</v>
      </c>
      <c r="L140" s="38">
        <v>1.89225806451613</v>
      </c>
      <c r="M140" s="38">
        <f t="shared" si="9"/>
        <v>15.854074326628018</v>
      </c>
      <c r="N140" s="36">
        <v>19</v>
      </c>
      <c r="O140" s="39">
        <f t="shared" si="10"/>
        <v>15.854074326628018</v>
      </c>
      <c r="P140" s="37">
        <f t="shared" si="11"/>
        <v>30</v>
      </c>
      <c r="Q140" s="40" t="str">
        <f>IF(ISERROR(I140),"",IF(I140="","",IF(COUNTIF($I$3:I140,I140)&gt;1,"",IFERROR(SUMIFS(Base!$P$3:$P$980,Base!$I$3:$I$980,I140)/SUMIFS(Base!$L$3:$L$980,Base!$I$3:$I$980,I140),0)+ROW()/1000000)))</f>
        <v/>
      </c>
      <c r="R140" s="40" t="str">
        <f>IF(ISERROR(G140),"",IF(G140="","",IF(COUNTIF($G$3:G140,G140)&gt;1,"",IFERROR(SUMIFS(Base!$P$3:$P$980,Base!$G$3:$G$980,G140)/SUMIFS(Base!$L$3:$L$980,Base!$G$3:$G$980,G140),0)+ROW()/1000000)))</f>
        <v/>
      </c>
    </row>
    <row r="141" spans="2:18" ht="14.25" customHeight="1" x14ac:dyDescent="0.35">
      <c r="B141" s="35" t="str">
        <f t="shared" si="8"/>
        <v>201030000482Ara</v>
      </c>
      <c r="C141" s="35" t="s">
        <v>248</v>
      </c>
      <c r="D141" s="35" t="s">
        <v>249</v>
      </c>
      <c r="E141" s="36">
        <v>201030000482</v>
      </c>
      <c r="F141" s="36">
        <v>201030000482</v>
      </c>
      <c r="G141" s="35" t="s">
        <v>65</v>
      </c>
      <c r="H141" s="35" t="s">
        <v>354</v>
      </c>
      <c r="I141" s="35" t="s">
        <v>355</v>
      </c>
      <c r="J141" s="35" t="s">
        <v>12</v>
      </c>
      <c r="K141" s="37">
        <v>122</v>
      </c>
      <c r="L141" s="38">
        <v>4.7240411806451599</v>
      </c>
      <c r="M141" s="38">
        <f t="shared" si="9"/>
        <v>25.825346421586129</v>
      </c>
      <c r="N141" s="36">
        <v>27.422413793103399</v>
      </c>
      <c r="O141" s="39">
        <f t="shared" si="10"/>
        <v>25.825346421586129</v>
      </c>
      <c r="P141" s="37">
        <f t="shared" si="11"/>
        <v>121.99999999999999</v>
      </c>
      <c r="Q141" s="40">
        <f>IF(ISERROR(I141),"",IF(I141="","",IF(COUNTIF($I$3:I141,I141)&gt;1,"",IFERROR(SUMIFS(Base!$P$3:$P$980,Base!$I$3:$I$980,I141)/SUMIFS(Base!$L$3:$L$980,Base!$I$3:$I$980,I141),0)+ROW()/1000000)))</f>
        <v>17.107051149589715</v>
      </c>
      <c r="R141" s="40" t="str">
        <f>IF(ISERROR(G141),"",IF(G141="","",IF(COUNTIF($G$3:G141,G141)&gt;1,"",IFERROR(SUMIFS(Base!$P$3:$P$980,Base!$G$3:$G$980,G141)/SUMIFS(Base!$L$3:$L$980,Base!$G$3:$G$980,G141),0)+ROW()/1000000)))</f>
        <v/>
      </c>
    </row>
    <row r="142" spans="2:18" ht="14.25" customHeight="1" x14ac:dyDescent="0.35">
      <c r="B142" s="35" t="str">
        <f t="shared" si="8"/>
        <v>201030000482Jpe</v>
      </c>
      <c r="C142" s="35" t="s">
        <v>248</v>
      </c>
      <c r="D142" s="35" t="s">
        <v>249</v>
      </c>
      <c r="E142" s="36">
        <v>201030000482</v>
      </c>
      <c r="F142" s="36">
        <v>201030000482</v>
      </c>
      <c r="G142" s="35" t="s">
        <v>65</v>
      </c>
      <c r="H142" s="35" t="s">
        <v>354</v>
      </c>
      <c r="I142" s="35" t="s">
        <v>355</v>
      </c>
      <c r="J142" s="35" t="s">
        <v>13</v>
      </c>
      <c r="K142" s="37">
        <v>92</v>
      </c>
      <c r="L142" s="38">
        <v>4.5897570870967801</v>
      </c>
      <c r="M142" s="38">
        <f t="shared" si="9"/>
        <v>20.044633790890661</v>
      </c>
      <c r="N142" s="36">
        <v>15</v>
      </c>
      <c r="O142" s="39">
        <f t="shared" si="10"/>
        <v>15</v>
      </c>
      <c r="P142" s="37">
        <f t="shared" si="11"/>
        <v>68.846356306451696</v>
      </c>
      <c r="Q142" s="40" t="str">
        <f>IF(ISERROR(I142),"",IF(I142="","",IF(COUNTIF($I$3:I142,I142)&gt;1,"",IFERROR(SUMIFS(Base!$P$3:$P$980,Base!$I$3:$I$980,I142)/SUMIFS(Base!$L$3:$L$980,Base!$I$3:$I$980,I142),0)+ROW()/1000000)))</f>
        <v/>
      </c>
      <c r="R142" s="40" t="str">
        <f>IF(ISERROR(G142),"",IF(G142="","",IF(COUNTIF($G$3:G142,G142)&gt;1,"",IFERROR(SUMIFS(Base!$P$3:$P$980,Base!$G$3:$G$980,G142)/SUMIFS(Base!$L$3:$L$980,Base!$G$3:$G$980,G142),0)+ROW()/1000000)))</f>
        <v/>
      </c>
    </row>
    <row r="143" spans="2:18" ht="14.25" customHeight="1" x14ac:dyDescent="0.35">
      <c r="B143" s="35" t="str">
        <f t="shared" si="8"/>
        <v>201030000411Ara</v>
      </c>
      <c r="C143" s="35" t="s">
        <v>248</v>
      </c>
      <c r="D143" s="35" t="s">
        <v>249</v>
      </c>
      <c r="E143" s="36">
        <v>201030000411</v>
      </c>
      <c r="F143" s="36">
        <v>201030000411</v>
      </c>
      <c r="G143" s="35" t="s">
        <v>65</v>
      </c>
      <c r="H143" s="35" t="s">
        <v>356</v>
      </c>
      <c r="I143" s="35" t="s">
        <v>298</v>
      </c>
      <c r="J143" s="35" t="s">
        <v>12</v>
      </c>
      <c r="K143" s="37">
        <v>687</v>
      </c>
      <c r="L143" s="38">
        <v>2.30290024125713</v>
      </c>
      <c r="M143" s="38">
        <f t="shared" si="9"/>
        <v>298.31947893017445</v>
      </c>
      <c r="N143" s="36">
        <v>19</v>
      </c>
      <c r="O143" s="39">
        <f t="shared" si="10"/>
        <v>19</v>
      </c>
      <c r="P143" s="37">
        <f t="shared" si="11"/>
        <v>43.755104583885469</v>
      </c>
      <c r="Q143" s="40" t="str">
        <f>IF(ISERROR(I143),"",IF(I143="","",IF(COUNTIF($I$3:I143,I143)&gt;1,"",IFERROR(SUMIFS(Base!$P$3:$P$980,Base!$I$3:$I$980,I143)/SUMIFS(Base!$L$3:$L$980,Base!$I$3:$I$980,I143),0)+ROW()/1000000)))</f>
        <v/>
      </c>
      <c r="R143" s="40" t="str">
        <f>IF(ISERROR(G143),"",IF(G143="","",IF(COUNTIF($G$3:G143,G143)&gt;1,"",IFERROR(SUMIFS(Base!$P$3:$P$980,Base!$G$3:$G$980,G143)/SUMIFS(Base!$L$3:$L$980,Base!$G$3:$G$980,G143),0)+ROW()/1000000)))</f>
        <v/>
      </c>
    </row>
    <row r="144" spans="2:18" ht="14.25" customHeight="1" x14ac:dyDescent="0.35">
      <c r="B144" s="35" t="str">
        <f t="shared" si="8"/>
        <v>201030000411Jpe</v>
      </c>
      <c r="C144" s="35" t="s">
        <v>248</v>
      </c>
      <c r="D144" s="35" t="s">
        <v>249</v>
      </c>
      <c r="E144" s="36">
        <v>201030000411</v>
      </c>
      <c r="F144" s="36">
        <v>201030000411</v>
      </c>
      <c r="G144" s="35" t="s">
        <v>65</v>
      </c>
      <c r="H144" s="35" t="s">
        <v>356</v>
      </c>
      <c r="I144" s="35" t="s">
        <v>298</v>
      </c>
      <c r="J144" s="35" t="s">
        <v>13</v>
      </c>
      <c r="K144" s="37">
        <v>105</v>
      </c>
      <c r="L144" s="38">
        <v>3.11726691584933</v>
      </c>
      <c r="M144" s="38">
        <f t="shared" si="9"/>
        <v>33.683352383506666</v>
      </c>
      <c r="N144" s="36">
        <v>15</v>
      </c>
      <c r="O144" s="39">
        <f t="shared" si="10"/>
        <v>15</v>
      </c>
      <c r="P144" s="37">
        <f t="shared" si="11"/>
        <v>46.759003737739953</v>
      </c>
      <c r="Q144" s="40" t="str">
        <f>IF(ISERROR(I144),"",IF(I144="","",IF(COUNTIF($I$3:I144,I144)&gt;1,"",IFERROR(SUMIFS(Base!$P$3:$P$980,Base!$I$3:$I$980,I144)/SUMIFS(Base!$L$3:$L$980,Base!$I$3:$I$980,I144),0)+ROW()/1000000)))</f>
        <v/>
      </c>
      <c r="R144" s="40" t="str">
        <f>IF(ISERROR(G144),"",IF(G144="","",IF(COUNTIF($G$3:G144,G144)&gt;1,"",IFERROR(SUMIFS(Base!$P$3:$P$980,Base!$G$3:$G$980,G144)/SUMIFS(Base!$L$3:$L$980,Base!$G$3:$G$980,G144),0)+ROW()/1000000)))</f>
        <v/>
      </c>
    </row>
    <row r="145" spans="2:18" ht="14.25" customHeight="1" x14ac:dyDescent="0.35">
      <c r="B145" s="35" t="str">
        <f t="shared" si="8"/>
        <v>201010000336Ara</v>
      </c>
      <c r="C145" s="35" t="s">
        <v>248</v>
      </c>
      <c r="D145" s="35" t="s">
        <v>249</v>
      </c>
      <c r="E145" s="36">
        <v>201010000336</v>
      </c>
      <c r="F145" s="36">
        <v>201010000336</v>
      </c>
      <c r="G145" s="35" t="s">
        <v>126</v>
      </c>
      <c r="H145" s="35" t="s">
        <v>357</v>
      </c>
      <c r="I145" s="35" t="s">
        <v>264</v>
      </c>
      <c r="J145" s="35" t="s">
        <v>12</v>
      </c>
      <c r="K145" s="37">
        <v>356</v>
      </c>
      <c r="L145" s="38">
        <v>5.1530241935483696</v>
      </c>
      <c r="M145" s="38">
        <f t="shared" si="9"/>
        <v>69.085644978285771</v>
      </c>
      <c r="N145" s="36">
        <v>16.4289580514208</v>
      </c>
      <c r="O145" s="39">
        <f t="shared" si="10"/>
        <v>16.4289580514208</v>
      </c>
      <c r="P145" s="37">
        <f t="shared" si="11"/>
        <v>84.658818313762666</v>
      </c>
      <c r="Q145" s="40" t="str">
        <f>IF(ISERROR(I145),"",IF(I145="","",IF(COUNTIF($I$3:I145,I145)&gt;1,"",IFERROR(SUMIFS(Base!$P$3:$P$980,Base!$I$3:$I$980,I145)/SUMIFS(Base!$L$3:$L$980,Base!$I$3:$I$980,I145),0)+ROW()/1000000)))</f>
        <v/>
      </c>
      <c r="R145" s="40" t="str">
        <f>IF(ISERROR(G145),"",IF(G145="","",IF(COUNTIF($G$3:G145,G145)&gt;1,"",IFERROR(SUMIFS(Base!$P$3:$P$980,Base!$G$3:$G$980,G145)/SUMIFS(Base!$L$3:$L$980,Base!$G$3:$G$980,G145),0)+ROW()/1000000)))</f>
        <v/>
      </c>
    </row>
    <row r="146" spans="2:18" ht="14.25" customHeight="1" x14ac:dyDescent="0.35">
      <c r="B146" s="35" t="str">
        <f t="shared" si="8"/>
        <v>201010000336Jpe</v>
      </c>
      <c r="C146" s="35" t="s">
        <v>248</v>
      </c>
      <c r="D146" s="35" t="s">
        <v>249</v>
      </c>
      <c r="E146" s="36">
        <v>201010000336</v>
      </c>
      <c r="F146" s="36">
        <v>201010000336</v>
      </c>
      <c r="G146" s="35" t="s">
        <v>126</v>
      </c>
      <c r="H146" s="35" t="s">
        <v>357</v>
      </c>
      <c r="I146" s="35" t="s">
        <v>264</v>
      </c>
      <c r="J146" s="35" t="s">
        <v>13</v>
      </c>
      <c r="K146" s="37">
        <v>246</v>
      </c>
      <c r="L146" s="38">
        <v>2.3349112903225699</v>
      </c>
      <c r="M146" s="38">
        <f t="shared" si="9"/>
        <v>105.35732171906835</v>
      </c>
      <c r="N146" s="36">
        <v>22</v>
      </c>
      <c r="O146" s="39">
        <f t="shared" si="10"/>
        <v>22</v>
      </c>
      <c r="P146" s="37">
        <f t="shared" si="11"/>
        <v>51.368048387096536</v>
      </c>
      <c r="Q146" s="40" t="str">
        <f>IF(ISERROR(I146),"",IF(I146="","",IF(COUNTIF($I$3:I146,I146)&gt;1,"",IFERROR(SUMIFS(Base!$P$3:$P$980,Base!$I$3:$I$980,I146)/SUMIFS(Base!$L$3:$L$980,Base!$I$3:$I$980,I146),0)+ROW()/1000000)))</f>
        <v/>
      </c>
      <c r="R146" s="40" t="str">
        <f>IF(ISERROR(G146),"",IF(G146="","",IF(COUNTIF($G$3:G146,G146)&gt;1,"",IFERROR(SUMIFS(Base!$P$3:$P$980,Base!$G$3:$G$980,G146)/SUMIFS(Base!$L$3:$L$980,Base!$G$3:$G$980,G146),0)+ROW()/1000000)))</f>
        <v/>
      </c>
    </row>
    <row r="147" spans="2:18" ht="14.25" customHeight="1" x14ac:dyDescent="0.35">
      <c r="B147" s="35" t="str">
        <f t="shared" si="8"/>
        <v>201030000272Ara</v>
      </c>
      <c r="C147" s="35" t="s">
        <v>248</v>
      </c>
      <c r="D147" s="35" t="s">
        <v>249</v>
      </c>
      <c r="E147" s="36">
        <v>201030000272</v>
      </c>
      <c r="F147" s="36">
        <v>201030000272</v>
      </c>
      <c r="G147" s="35" t="s">
        <v>65</v>
      </c>
      <c r="H147" s="35" t="s">
        <v>358</v>
      </c>
      <c r="I147" s="35" t="s">
        <v>359</v>
      </c>
      <c r="J147" s="35" t="s">
        <v>12</v>
      </c>
      <c r="K147" s="37">
        <v>139</v>
      </c>
      <c r="L147" s="38">
        <v>5.3726248520284399</v>
      </c>
      <c r="M147" s="38">
        <f t="shared" si="9"/>
        <v>25.871897597227623</v>
      </c>
      <c r="N147" s="36">
        <v>32</v>
      </c>
      <c r="O147" s="39">
        <f t="shared" si="10"/>
        <v>25.871897597227623</v>
      </c>
      <c r="P147" s="37">
        <f t="shared" si="11"/>
        <v>139</v>
      </c>
      <c r="Q147" s="40">
        <f>IF(ISERROR(I147),"",IF(I147="","",IF(COUNTIF($I$3:I147,I147)&gt;1,"",IFERROR(SUMIFS(Base!$P$3:$P$980,Base!$I$3:$I$980,I147)/SUMIFS(Base!$L$3:$L$980,Base!$I$3:$I$980,I147),0)+ROW()/1000000)))</f>
        <v>28.474978684978709</v>
      </c>
      <c r="R147" s="40" t="str">
        <f>IF(ISERROR(G147),"",IF(G147="","",IF(COUNTIF($G$3:G147,G147)&gt;1,"",IFERROR(SUMIFS(Base!$P$3:$P$980,Base!$G$3:$G$980,G147)/SUMIFS(Base!$L$3:$L$980,Base!$G$3:$G$980,G147),0)+ROW()/1000000)))</f>
        <v/>
      </c>
    </row>
    <row r="148" spans="2:18" ht="14.25" customHeight="1" x14ac:dyDescent="0.35">
      <c r="B148" s="35" t="str">
        <f t="shared" si="8"/>
        <v>201030000272Jpe</v>
      </c>
      <c r="C148" s="35" t="s">
        <v>248</v>
      </c>
      <c r="D148" s="35" t="s">
        <v>249</v>
      </c>
      <c r="E148" s="36">
        <v>201030000272</v>
      </c>
      <c r="F148" s="36">
        <v>201030000272</v>
      </c>
      <c r="G148" s="35" t="s">
        <v>65</v>
      </c>
      <c r="H148" s="35" t="s">
        <v>358</v>
      </c>
      <c r="I148" s="35" t="s">
        <v>359</v>
      </c>
      <c r="J148" s="35" t="s">
        <v>13</v>
      </c>
      <c r="K148" s="37">
        <v>163</v>
      </c>
      <c r="L148" s="38">
        <v>3.9670696881204099</v>
      </c>
      <c r="M148" s="38">
        <f t="shared" si="9"/>
        <v>41.088262323223539</v>
      </c>
      <c r="N148" s="36">
        <v>32</v>
      </c>
      <c r="O148" s="39">
        <f t="shared" si="10"/>
        <v>32</v>
      </c>
      <c r="P148" s="37">
        <f t="shared" si="11"/>
        <v>126.94623001985312</v>
      </c>
      <c r="Q148" s="40" t="str">
        <f>IF(ISERROR(I148),"",IF(I148="","",IF(COUNTIF($I$3:I148,I148)&gt;1,"",IFERROR(SUMIFS(Base!$P$3:$P$980,Base!$I$3:$I$980,I148)/SUMIFS(Base!$L$3:$L$980,Base!$I$3:$I$980,I148),0)+ROW()/1000000)))</f>
        <v/>
      </c>
      <c r="R148" s="40" t="str">
        <f>IF(ISERROR(G148),"",IF(G148="","",IF(COUNTIF($G$3:G148,G148)&gt;1,"",IFERROR(SUMIFS(Base!$P$3:$P$980,Base!$G$3:$G$980,G148)/SUMIFS(Base!$L$3:$L$980,Base!$G$3:$G$980,G148),0)+ROW()/1000000)))</f>
        <v/>
      </c>
    </row>
    <row r="149" spans="2:18" ht="14.25" customHeight="1" x14ac:dyDescent="0.35">
      <c r="B149" s="35" t="str">
        <f t="shared" si="8"/>
        <v>201030000361Ara</v>
      </c>
      <c r="C149" s="35" t="s">
        <v>248</v>
      </c>
      <c r="D149" s="35" t="s">
        <v>249</v>
      </c>
      <c r="E149" s="36">
        <v>201030000361</v>
      </c>
      <c r="F149" s="36">
        <v>201030000361</v>
      </c>
      <c r="G149" s="35" t="s">
        <v>65</v>
      </c>
      <c r="H149" s="35" t="s">
        <v>360</v>
      </c>
      <c r="I149" s="35" t="s">
        <v>355</v>
      </c>
      <c r="J149" s="35" t="s">
        <v>12</v>
      </c>
      <c r="K149" s="37">
        <v>85</v>
      </c>
      <c r="L149" s="38">
        <v>5.6823833814144002</v>
      </c>
      <c r="M149" s="38">
        <f t="shared" si="9"/>
        <v>14.958512000090124</v>
      </c>
      <c r="N149" s="36">
        <v>25.234716157205199</v>
      </c>
      <c r="O149" s="39">
        <f t="shared" si="10"/>
        <v>14.958512000090124</v>
      </c>
      <c r="P149" s="37">
        <f t="shared" si="11"/>
        <v>85</v>
      </c>
      <c r="Q149" s="40" t="str">
        <f>IF(ISERROR(I149),"",IF(I149="","",IF(COUNTIF($I$3:I149,I149)&gt;1,"",IFERROR(SUMIFS(Base!$P$3:$P$980,Base!$I$3:$I$980,I149)/SUMIFS(Base!$L$3:$L$980,Base!$I$3:$I$980,I149),0)+ROW()/1000000)))</f>
        <v/>
      </c>
      <c r="R149" s="40" t="str">
        <f>IF(ISERROR(G149),"",IF(G149="","",IF(COUNTIF($G$3:G149,G149)&gt;1,"",IFERROR(SUMIFS(Base!$P$3:$P$980,Base!$G$3:$G$980,G149)/SUMIFS(Base!$L$3:$L$980,Base!$G$3:$G$980,G149),0)+ROW()/1000000)))</f>
        <v/>
      </c>
    </row>
    <row r="150" spans="2:18" ht="14.25" customHeight="1" x14ac:dyDescent="0.35">
      <c r="B150" s="35" t="str">
        <f t="shared" si="8"/>
        <v>201030000361Jpe</v>
      </c>
      <c r="C150" s="35" t="s">
        <v>248</v>
      </c>
      <c r="D150" s="35" t="s">
        <v>249</v>
      </c>
      <c r="E150" s="36">
        <v>201030000361</v>
      </c>
      <c r="F150" s="36">
        <v>201030000361</v>
      </c>
      <c r="G150" s="35" t="s">
        <v>65</v>
      </c>
      <c r="H150" s="35" t="s">
        <v>360</v>
      </c>
      <c r="I150" s="35" t="s">
        <v>355</v>
      </c>
      <c r="J150" s="35" t="s">
        <v>13</v>
      </c>
      <c r="K150" s="37">
        <v>78</v>
      </c>
      <c r="L150" s="38">
        <v>5.68822910721501</v>
      </c>
      <c r="M150" s="38">
        <f t="shared" si="9"/>
        <v>13.712527841233394</v>
      </c>
      <c r="N150" s="36">
        <v>16</v>
      </c>
      <c r="O150" s="39">
        <f t="shared" si="10"/>
        <v>13.712527841233394</v>
      </c>
      <c r="P150" s="37">
        <f t="shared" si="11"/>
        <v>78</v>
      </c>
      <c r="Q150" s="40" t="str">
        <f>IF(ISERROR(I150),"",IF(I150="","",IF(COUNTIF($I$3:I150,I150)&gt;1,"",IFERROR(SUMIFS(Base!$P$3:$P$980,Base!$I$3:$I$980,I150)/SUMIFS(Base!$L$3:$L$980,Base!$I$3:$I$980,I150),0)+ROW()/1000000)))</f>
        <v/>
      </c>
      <c r="R150" s="40" t="str">
        <f>IF(ISERROR(G150),"",IF(G150="","",IF(COUNTIF($G$3:G150,G150)&gt;1,"",IFERROR(SUMIFS(Base!$P$3:$P$980,Base!$G$3:$G$980,G150)/SUMIFS(Base!$L$3:$L$980,Base!$G$3:$G$980,G150),0)+ROW()/1000000)))</f>
        <v/>
      </c>
    </row>
    <row r="151" spans="2:18" ht="14.25" customHeight="1" x14ac:dyDescent="0.35">
      <c r="B151" s="35" t="str">
        <f t="shared" si="8"/>
        <v>201010000335Ara</v>
      </c>
      <c r="C151" s="35" t="s">
        <v>248</v>
      </c>
      <c r="D151" s="35" t="s">
        <v>237</v>
      </c>
      <c r="E151" s="36">
        <v>201010000335</v>
      </c>
      <c r="F151" s="36">
        <v>201010000335</v>
      </c>
      <c r="G151" s="35" t="s">
        <v>132</v>
      </c>
      <c r="H151" s="35" t="s">
        <v>361</v>
      </c>
      <c r="I151" s="35" t="s">
        <v>286</v>
      </c>
      <c r="J151" s="35" t="s">
        <v>12</v>
      </c>
      <c r="K151" s="37">
        <v>117</v>
      </c>
      <c r="L151" s="38">
        <v>3.2846563303538399</v>
      </c>
      <c r="M151" s="38">
        <f t="shared" si="9"/>
        <v>35.620164861325435</v>
      </c>
      <c r="N151" s="36">
        <v>35.916044776119399</v>
      </c>
      <c r="O151" s="39">
        <f t="shared" si="10"/>
        <v>35.620164861325435</v>
      </c>
      <c r="P151" s="37">
        <f t="shared" si="11"/>
        <v>117</v>
      </c>
      <c r="Q151" s="40" t="str">
        <f>IF(ISERROR(I151),"",IF(I151="","",IF(COUNTIF($I$3:I151,I151)&gt;1,"",IFERROR(SUMIFS(Base!$P$3:$P$980,Base!$I$3:$I$980,I151)/SUMIFS(Base!$L$3:$L$980,Base!$I$3:$I$980,I151),0)+ROW()/1000000)))</f>
        <v/>
      </c>
      <c r="R151" s="40" t="str">
        <f>IF(ISERROR(G151),"",IF(G151="","",IF(COUNTIF($G$3:G151,G151)&gt;1,"",IFERROR(SUMIFS(Base!$P$3:$P$980,Base!$G$3:$G$980,G151)/SUMIFS(Base!$L$3:$L$980,Base!$G$3:$G$980,G151),0)+ROW()/1000000)))</f>
        <v/>
      </c>
    </row>
    <row r="152" spans="2:18" ht="14.25" customHeight="1" x14ac:dyDescent="0.35">
      <c r="B152" s="35" t="str">
        <f t="shared" si="8"/>
        <v>201010000335Jpe</v>
      </c>
      <c r="C152" s="35" t="s">
        <v>248</v>
      </c>
      <c r="D152" s="35" t="s">
        <v>237</v>
      </c>
      <c r="E152" s="36">
        <v>201010000335</v>
      </c>
      <c r="F152" s="36">
        <v>201010000335</v>
      </c>
      <c r="G152" s="35" t="s">
        <v>132</v>
      </c>
      <c r="H152" s="35" t="s">
        <v>361</v>
      </c>
      <c r="I152" s="35" t="s">
        <v>286</v>
      </c>
      <c r="J152" s="35" t="s">
        <v>13</v>
      </c>
      <c r="K152" s="37">
        <v>89</v>
      </c>
      <c r="L152" s="38">
        <v>1.48024260739377</v>
      </c>
      <c r="M152" s="38">
        <f t="shared" si="9"/>
        <v>60.125279164001576</v>
      </c>
      <c r="N152" s="36">
        <v>36</v>
      </c>
      <c r="O152" s="39">
        <f t="shared" si="10"/>
        <v>36</v>
      </c>
      <c r="P152" s="37">
        <f t="shared" si="11"/>
        <v>53.288733866175718</v>
      </c>
      <c r="Q152" s="40" t="str">
        <f>IF(ISERROR(I152),"",IF(I152="","",IF(COUNTIF($I$3:I152,I152)&gt;1,"",IFERROR(SUMIFS(Base!$P$3:$P$980,Base!$I$3:$I$980,I152)/SUMIFS(Base!$L$3:$L$980,Base!$I$3:$I$980,I152),0)+ROW()/1000000)))</f>
        <v/>
      </c>
      <c r="R152" s="40" t="str">
        <f>IF(ISERROR(G152),"",IF(G152="","",IF(COUNTIF($G$3:G152,G152)&gt;1,"",IFERROR(SUMIFS(Base!$P$3:$P$980,Base!$G$3:$G$980,G152)/SUMIFS(Base!$L$3:$L$980,Base!$G$3:$G$980,G152),0)+ROW()/1000000)))</f>
        <v/>
      </c>
    </row>
    <row r="153" spans="2:18" ht="14.25" customHeight="1" x14ac:dyDescent="0.35">
      <c r="B153" s="35" t="str">
        <f t="shared" si="8"/>
        <v>201030000128Ara</v>
      </c>
      <c r="C153" s="35" t="s">
        <v>248</v>
      </c>
      <c r="D153" s="35" t="s">
        <v>249</v>
      </c>
      <c r="E153" s="36">
        <v>201030000128</v>
      </c>
      <c r="F153" s="36">
        <v>201030000128</v>
      </c>
      <c r="G153" s="35" t="s">
        <v>65</v>
      </c>
      <c r="H153" s="35" t="s">
        <v>362</v>
      </c>
      <c r="I153" s="35" t="s">
        <v>312</v>
      </c>
      <c r="J153" s="35" t="s">
        <v>12</v>
      </c>
      <c r="K153" s="37">
        <v>469</v>
      </c>
      <c r="L153" s="38">
        <v>16.552977635485899</v>
      </c>
      <c r="M153" s="38">
        <f t="shared" si="9"/>
        <v>28.333270927314516</v>
      </c>
      <c r="N153" s="36">
        <v>11.3071428571429</v>
      </c>
      <c r="O153" s="39">
        <f t="shared" si="10"/>
        <v>11.3071428571429</v>
      </c>
      <c r="P153" s="37">
        <f t="shared" si="11"/>
        <v>187.16688283553054</v>
      </c>
      <c r="Q153" s="40" t="str">
        <f>IF(ISERROR(I153),"",IF(I153="","",IF(COUNTIF($I$3:I153,I153)&gt;1,"",IFERROR(SUMIFS(Base!$P$3:$P$980,Base!$I$3:$I$980,I153)/SUMIFS(Base!$L$3:$L$980,Base!$I$3:$I$980,I153),0)+ROW()/1000000)))</f>
        <v/>
      </c>
      <c r="R153" s="40" t="str">
        <f>IF(ISERROR(G153),"",IF(G153="","",IF(COUNTIF($G$3:G153,G153)&gt;1,"",IFERROR(SUMIFS(Base!$P$3:$P$980,Base!$G$3:$G$980,G153)/SUMIFS(Base!$L$3:$L$980,Base!$G$3:$G$980,G153),0)+ROW()/1000000)))</f>
        <v/>
      </c>
    </row>
    <row r="154" spans="2:18" ht="14.25" customHeight="1" x14ac:dyDescent="0.35">
      <c r="B154" s="35" t="str">
        <f t="shared" si="8"/>
        <v>201030000128Jpe</v>
      </c>
      <c r="C154" s="35" t="s">
        <v>248</v>
      </c>
      <c r="D154" s="35" t="s">
        <v>249</v>
      </c>
      <c r="E154" s="36">
        <v>201030000128</v>
      </c>
      <c r="F154" s="36">
        <v>201030000128</v>
      </c>
      <c r="G154" s="35" t="s">
        <v>65</v>
      </c>
      <c r="H154" s="35" t="s">
        <v>362</v>
      </c>
      <c r="I154" s="35" t="s">
        <v>312</v>
      </c>
      <c r="J154" s="35" t="s">
        <v>13</v>
      </c>
      <c r="K154" s="37">
        <v>19</v>
      </c>
      <c r="L154" s="38">
        <v>1.12353402689309</v>
      </c>
      <c r="M154" s="38">
        <f t="shared" si="9"/>
        <v>16.910925299290422</v>
      </c>
      <c r="N154" s="36">
        <v>16</v>
      </c>
      <c r="O154" s="39">
        <f t="shared" si="10"/>
        <v>16</v>
      </c>
      <c r="P154" s="37">
        <f t="shared" si="11"/>
        <v>17.97654443028944</v>
      </c>
      <c r="Q154" s="40" t="str">
        <f>IF(ISERROR(I154),"",IF(I154="","",IF(COUNTIF($I$3:I154,I154)&gt;1,"",IFERROR(SUMIFS(Base!$P$3:$P$980,Base!$I$3:$I$980,I154)/SUMIFS(Base!$L$3:$L$980,Base!$I$3:$I$980,I154),0)+ROW()/1000000)))</f>
        <v/>
      </c>
      <c r="R154" s="40" t="str">
        <f>IF(ISERROR(G154),"",IF(G154="","",IF(COUNTIF($G$3:G154,G154)&gt;1,"",IFERROR(SUMIFS(Base!$P$3:$P$980,Base!$G$3:$G$980,G154)/SUMIFS(Base!$L$3:$L$980,Base!$G$3:$G$980,G154),0)+ROW()/1000000)))</f>
        <v/>
      </c>
    </row>
    <row r="155" spans="2:18" ht="14.25" customHeight="1" x14ac:dyDescent="0.35">
      <c r="B155" s="35" t="str">
        <f t="shared" si="8"/>
        <v>201030000129Ara</v>
      </c>
      <c r="C155" s="35" t="s">
        <v>248</v>
      </c>
      <c r="D155" s="35" t="s">
        <v>249</v>
      </c>
      <c r="E155" s="36">
        <v>201030000129</v>
      </c>
      <c r="F155" s="36">
        <v>201030000129</v>
      </c>
      <c r="G155" s="35" t="s">
        <v>65</v>
      </c>
      <c r="H155" s="35" t="s">
        <v>363</v>
      </c>
      <c r="I155" s="35" t="s">
        <v>312</v>
      </c>
      <c r="J155" s="35" t="s">
        <v>12</v>
      </c>
      <c r="K155" s="37">
        <v>204</v>
      </c>
      <c r="L155" s="38">
        <v>4.0217785220544799</v>
      </c>
      <c r="M155" s="38">
        <f t="shared" si="9"/>
        <v>50.723827501020345</v>
      </c>
      <c r="N155" s="36">
        <v>22.9789719626168</v>
      </c>
      <c r="O155" s="39">
        <f t="shared" si="10"/>
        <v>22.9789719626168</v>
      </c>
      <c r="P155" s="37">
        <f t="shared" si="11"/>
        <v>92.416335898144325</v>
      </c>
      <c r="Q155" s="40" t="str">
        <f>IF(ISERROR(I155),"",IF(I155="","",IF(COUNTIF($I$3:I155,I155)&gt;1,"",IFERROR(SUMIFS(Base!$P$3:$P$980,Base!$I$3:$I$980,I155)/SUMIFS(Base!$L$3:$L$980,Base!$I$3:$I$980,I155),0)+ROW()/1000000)))</f>
        <v/>
      </c>
      <c r="R155" s="40" t="str">
        <f>IF(ISERROR(G155),"",IF(G155="","",IF(COUNTIF($G$3:G155,G155)&gt;1,"",IFERROR(SUMIFS(Base!$P$3:$P$980,Base!$G$3:$G$980,G155)/SUMIFS(Base!$L$3:$L$980,Base!$G$3:$G$980,G155),0)+ROW()/1000000)))</f>
        <v/>
      </c>
    </row>
    <row r="156" spans="2:18" ht="14.25" customHeight="1" x14ac:dyDescent="0.35">
      <c r="B156" s="35" t="str">
        <f t="shared" si="8"/>
        <v>201030000129Jpe</v>
      </c>
      <c r="C156" s="35" t="s">
        <v>248</v>
      </c>
      <c r="D156" s="35" t="s">
        <v>249</v>
      </c>
      <c r="E156" s="36">
        <v>201030000129</v>
      </c>
      <c r="F156" s="36">
        <v>201030000129</v>
      </c>
      <c r="G156" s="35" t="s">
        <v>65</v>
      </c>
      <c r="H156" s="35" t="s">
        <v>363</v>
      </c>
      <c r="I156" s="35" t="s">
        <v>312</v>
      </c>
      <c r="J156" s="35" t="s">
        <v>13</v>
      </c>
      <c r="K156" s="37">
        <v>202</v>
      </c>
      <c r="L156" s="38">
        <v>3.82831577592269</v>
      </c>
      <c r="M156" s="38">
        <f t="shared" si="9"/>
        <v>52.764717390982334</v>
      </c>
      <c r="N156" s="36">
        <v>18</v>
      </c>
      <c r="O156" s="39">
        <f t="shared" si="10"/>
        <v>18</v>
      </c>
      <c r="P156" s="37">
        <f t="shared" si="11"/>
        <v>68.909683966608426</v>
      </c>
      <c r="Q156" s="40" t="str">
        <f>IF(ISERROR(I156),"",IF(I156="","",IF(COUNTIF($I$3:I156,I156)&gt;1,"",IFERROR(SUMIFS(Base!$P$3:$P$980,Base!$I$3:$I$980,I156)/SUMIFS(Base!$L$3:$L$980,Base!$I$3:$I$980,I156),0)+ROW()/1000000)))</f>
        <v/>
      </c>
      <c r="R156" s="40" t="str">
        <f>IF(ISERROR(G156),"",IF(G156="","",IF(COUNTIF($G$3:G156,G156)&gt;1,"",IFERROR(SUMIFS(Base!$P$3:$P$980,Base!$G$3:$G$980,G156)/SUMIFS(Base!$L$3:$L$980,Base!$G$3:$G$980,G156),0)+ROW()/1000000)))</f>
        <v/>
      </c>
    </row>
    <row r="157" spans="2:18" ht="14.25" customHeight="1" x14ac:dyDescent="0.35">
      <c r="B157" s="35" t="str">
        <f t="shared" si="8"/>
        <v>201010000633Ara</v>
      </c>
      <c r="C157" s="35" t="s">
        <v>248</v>
      </c>
      <c r="D157" s="35" t="s">
        <v>249</v>
      </c>
      <c r="E157" s="36">
        <v>201010000633</v>
      </c>
      <c r="F157" s="36">
        <v>201010000633</v>
      </c>
      <c r="G157" s="35" t="s">
        <v>50</v>
      </c>
      <c r="H157" s="35" t="s">
        <v>364</v>
      </c>
      <c r="I157" s="35" t="s">
        <v>264</v>
      </c>
      <c r="J157" s="35" t="s">
        <v>12</v>
      </c>
      <c r="K157" s="37">
        <v>137</v>
      </c>
      <c r="L157" s="38">
        <v>2.5406527678401898</v>
      </c>
      <c r="M157" s="38">
        <f t="shared" si="9"/>
        <v>53.923149882643649</v>
      </c>
      <c r="N157" s="36">
        <v>22.2323232323232</v>
      </c>
      <c r="O157" s="39">
        <f t="shared" si="10"/>
        <v>22.2323232323232</v>
      </c>
      <c r="P157" s="37">
        <f t="shared" si="11"/>
        <v>56.48461355571969</v>
      </c>
      <c r="Q157" s="40" t="str">
        <f>IF(ISERROR(I157),"",IF(I157="","",IF(COUNTIF($I$3:I157,I157)&gt;1,"",IFERROR(SUMIFS(Base!$P$3:$P$980,Base!$I$3:$I$980,I157)/SUMIFS(Base!$L$3:$L$980,Base!$I$3:$I$980,I157),0)+ROW()/1000000)))</f>
        <v/>
      </c>
      <c r="R157" s="40" t="str">
        <f>IF(ISERROR(G157),"",IF(G157="","",IF(COUNTIF($G$3:G157,G157)&gt;1,"",IFERROR(SUMIFS(Base!$P$3:$P$980,Base!$G$3:$G$980,G157)/SUMIFS(Base!$L$3:$L$980,Base!$G$3:$G$980,G157),0)+ROW()/1000000)))</f>
        <v/>
      </c>
    </row>
    <row r="158" spans="2:18" ht="14.25" customHeight="1" x14ac:dyDescent="0.35">
      <c r="B158" s="35" t="str">
        <f t="shared" si="8"/>
        <v>201010000633Jpe</v>
      </c>
      <c r="C158" s="35" t="s">
        <v>248</v>
      </c>
      <c r="D158" s="35" t="s">
        <v>249</v>
      </c>
      <c r="E158" s="36">
        <v>201010000633</v>
      </c>
      <c r="F158" s="36">
        <v>201010000633</v>
      </c>
      <c r="G158" s="35" t="s">
        <v>50</v>
      </c>
      <c r="H158" s="35" t="s">
        <v>364</v>
      </c>
      <c r="I158" s="35" t="s">
        <v>264</v>
      </c>
      <c r="J158" s="35" t="s">
        <v>13</v>
      </c>
      <c r="K158" s="37">
        <v>34</v>
      </c>
      <c r="L158" s="38">
        <v>1.4306751838171301</v>
      </c>
      <c r="M158" s="38">
        <f t="shared" si="9"/>
        <v>23.765002975228725</v>
      </c>
      <c r="N158" s="36">
        <v>23</v>
      </c>
      <c r="O158" s="39">
        <f t="shared" si="10"/>
        <v>23</v>
      </c>
      <c r="P158" s="37">
        <f t="shared" si="11"/>
        <v>32.905529227793991</v>
      </c>
      <c r="Q158" s="40" t="str">
        <f>IF(ISERROR(I158),"",IF(I158="","",IF(COUNTIF($I$3:I158,I158)&gt;1,"",IFERROR(SUMIFS(Base!$P$3:$P$980,Base!$I$3:$I$980,I158)/SUMIFS(Base!$L$3:$L$980,Base!$I$3:$I$980,I158),0)+ROW()/1000000)))</f>
        <v/>
      </c>
      <c r="R158" s="40" t="str">
        <f>IF(ISERROR(G158),"",IF(G158="","",IF(COUNTIF($G$3:G158,G158)&gt;1,"",IFERROR(SUMIFS(Base!$P$3:$P$980,Base!$G$3:$G$980,G158)/SUMIFS(Base!$L$3:$L$980,Base!$G$3:$G$980,G158),0)+ROW()/1000000)))</f>
        <v/>
      </c>
    </row>
    <row r="159" spans="2:18" ht="14.25" customHeight="1" x14ac:dyDescent="0.35">
      <c r="B159" s="35" t="str">
        <f t="shared" si="8"/>
        <v>201010000376Ara</v>
      </c>
      <c r="C159" s="35" t="s">
        <v>248</v>
      </c>
      <c r="D159" s="35" t="s">
        <v>249</v>
      </c>
      <c r="E159" s="36">
        <v>201010000376</v>
      </c>
      <c r="F159" s="36">
        <v>201010000376</v>
      </c>
      <c r="G159" s="35" t="s">
        <v>50</v>
      </c>
      <c r="H159" s="35" t="s">
        <v>365</v>
      </c>
      <c r="I159" s="35" t="s">
        <v>264</v>
      </c>
      <c r="J159" s="35" t="s">
        <v>12</v>
      </c>
      <c r="K159" s="37">
        <v>115</v>
      </c>
      <c r="L159" s="38">
        <v>3.3586837244538499</v>
      </c>
      <c r="M159" s="38">
        <f t="shared" si="9"/>
        <v>34.239603795591073</v>
      </c>
      <c r="N159" s="36">
        <v>18.654478976234</v>
      </c>
      <c r="O159" s="39">
        <f t="shared" si="10"/>
        <v>18.654478976234</v>
      </c>
      <c r="P159" s="37">
        <f t="shared" si="11"/>
        <v>62.654494925643647</v>
      </c>
      <c r="Q159" s="40" t="str">
        <f>IF(ISERROR(I159),"",IF(I159="","",IF(COUNTIF($I$3:I159,I159)&gt;1,"",IFERROR(SUMIFS(Base!$P$3:$P$980,Base!$I$3:$I$980,I159)/SUMIFS(Base!$L$3:$L$980,Base!$I$3:$I$980,I159),0)+ROW()/1000000)))</f>
        <v/>
      </c>
      <c r="R159" s="40" t="str">
        <f>IF(ISERROR(G159),"",IF(G159="","",IF(COUNTIF($G$3:G159,G159)&gt;1,"",IFERROR(SUMIFS(Base!$P$3:$P$980,Base!$G$3:$G$980,G159)/SUMIFS(Base!$L$3:$L$980,Base!$G$3:$G$980,G159),0)+ROW()/1000000)))</f>
        <v/>
      </c>
    </row>
    <row r="160" spans="2:18" ht="14.25" customHeight="1" x14ac:dyDescent="0.35">
      <c r="B160" s="35" t="str">
        <f t="shared" si="8"/>
        <v>201010000376Jpe</v>
      </c>
      <c r="C160" s="35" t="s">
        <v>248</v>
      </c>
      <c r="D160" s="35" t="s">
        <v>249</v>
      </c>
      <c r="E160" s="36">
        <v>201010000376</v>
      </c>
      <c r="F160" s="36">
        <v>201010000376</v>
      </c>
      <c r="G160" s="35" t="s">
        <v>50</v>
      </c>
      <c r="H160" s="35" t="s">
        <v>365</v>
      </c>
      <c r="I160" s="35" t="s">
        <v>264</v>
      </c>
      <c r="J160" s="35" t="s">
        <v>13</v>
      </c>
      <c r="K160" s="37">
        <v>51</v>
      </c>
      <c r="L160" s="38">
        <v>0.55200031901298896</v>
      </c>
      <c r="M160" s="38">
        <f t="shared" si="9"/>
        <v>92.391250952882032</v>
      </c>
      <c r="N160" s="36">
        <v>16</v>
      </c>
      <c r="O160" s="39">
        <f t="shared" si="10"/>
        <v>16</v>
      </c>
      <c r="P160" s="37">
        <f t="shared" si="11"/>
        <v>8.8320051042078234</v>
      </c>
      <c r="Q160" s="40" t="str">
        <f>IF(ISERROR(I160),"",IF(I160="","",IF(COUNTIF($I$3:I160,I160)&gt;1,"",IFERROR(SUMIFS(Base!$P$3:$P$980,Base!$I$3:$I$980,I160)/SUMIFS(Base!$L$3:$L$980,Base!$I$3:$I$980,I160),0)+ROW()/1000000)))</f>
        <v/>
      </c>
      <c r="R160" s="40" t="str">
        <f>IF(ISERROR(G160),"",IF(G160="","",IF(COUNTIF($G$3:G160,G160)&gt;1,"",IFERROR(SUMIFS(Base!$P$3:$P$980,Base!$G$3:$G$980,G160)/SUMIFS(Base!$L$3:$L$980,Base!$G$3:$G$980,G160),0)+ROW()/1000000)))</f>
        <v/>
      </c>
    </row>
    <row r="161" spans="2:18" ht="14.25" customHeight="1" x14ac:dyDescent="0.35">
      <c r="B161" s="35" t="str">
        <f t="shared" si="8"/>
        <v>201030000415Ara</v>
      </c>
      <c r="C161" s="35" t="s">
        <v>248</v>
      </c>
      <c r="D161" s="35" t="s">
        <v>249</v>
      </c>
      <c r="E161" s="36">
        <v>201030000415</v>
      </c>
      <c r="F161" s="36">
        <v>201030000415</v>
      </c>
      <c r="G161" s="35" t="s">
        <v>65</v>
      </c>
      <c r="H161" s="35" t="s">
        <v>366</v>
      </c>
      <c r="I161" s="35" t="s">
        <v>268</v>
      </c>
      <c r="J161" s="35" t="s">
        <v>12</v>
      </c>
      <c r="K161" s="37">
        <v>38</v>
      </c>
      <c r="L161" s="38">
        <v>2.4535774827679901</v>
      </c>
      <c r="M161" s="38">
        <f t="shared" si="9"/>
        <v>15.487589149673196</v>
      </c>
      <c r="N161" s="36">
        <v>32</v>
      </c>
      <c r="O161" s="39">
        <f t="shared" si="10"/>
        <v>15.487589149673196</v>
      </c>
      <c r="P161" s="37">
        <f t="shared" si="11"/>
        <v>38</v>
      </c>
      <c r="Q161" s="40" t="str">
        <f>IF(ISERROR(I161),"",IF(I161="","",IF(COUNTIF($I$3:I161,I161)&gt;1,"",IFERROR(SUMIFS(Base!$P$3:$P$980,Base!$I$3:$I$980,I161)/SUMIFS(Base!$L$3:$L$980,Base!$I$3:$I$980,I161),0)+ROW()/1000000)))</f>
        <v/>
      </c>
      <c r="R161" s="40" t="str">
        <f>IF(ISERROR(G161),"",IF(G161="","",IF(COUNTIF($G$3:G161,G161)&gt;1,"",IFERROR(SUMIFS(Base!$P$3:$P$980,Base!$G$3:$G$980,G161)/SUMIFS(Base!$L$3:$L$980,Base!$G$3:$G$980,G161),0)+ROW()/1000000)))</f>
        <v/>
      </c>
    </row>
    <row r="162" spans="2:18" ht="14.25" customHeight="1" x14ac:dyDescent="0.35">
      <c r="B162" s="35" t="str">
        <f t="shared" si="8"/>
        <v>201030000415Jpe</v>
      </c>
      <c r="C162" s="35" t="s">
        <v>248</v>
      </c>
      <c r="D162" s="35" t="s">
        <v>249</v>
      </c>
      <c r="E162" s="36">
        <v>201030000415</v>
      </c>
      <c r="F162" s="36">
        <v>201030000415</v>
      </c>
      <c r="G162" s="35" t="s">
        <v>65</v>
      </c>
      <c r="H162" s="35" t="s">
        <v>366</v>
      </c>
      <c r="I162" s="35" t="s">
        <v>347</v>
      </c>
      <c r="J162" s="35" t="s">
        <v>13</v>
      </c>
      <c r="K162" s="37">
        <v>0</v>
      </c>
      <c r="L162" s="38">
        <v>2.6006936896625401</v>
      </c>
      <c r="M162" s="38">
        <f t="shared" si="9"/>
        <v>0</v>
      </c>
      <c r="N162" s="36">
        <v>32</v>
      </c>
      <c r="O162" s="39">
        <f t="shared" si="10"/>
        <v>0</v>
      </c>
      <c r="P162" s="37">
        <f t="shared" si="11"/>
        <v>0</v>
      </c>
      <c r="Q162" s="40" t="str">
        <f>IF(ISERROR(I162),"",IF(I162="","",IF(COUNTIF($I$3:I162,I162)&gt;1,"",IFERROR(SUMIFS(Base!$P$3:$P$980,Base!$I$3:$I$980,I162)/SUMIFS(Base!$L$3:$L$980,Base!$I$3:$I$980,I162),0)+ROW()/1000000)))</f>
        <v/>
      </c>
      <c r="R162" s="40" t="str">
        <f>IF(ISERROR(G162),"",IF(G162="","",IF(COUNTIF($G$3:G162,G162)&gt;1,"",IFERROR(SUMIFS(Base!$P$3:$P$980,Base!$G$3:$G$980,G162)/SUMIFS(Base!$L$3:$L$980,Base!$G$3:$G$980,G162),0)+ROW()/1000000)))</f>
        <v/>
      </c>
    </row>
    <row r="163" spans="2:18" ht="14.25" customHeight="1" x14ac:dyDescent="0.35">
      <c r="B163" s="35" t="str">
        <f t="shared" si="8"/>
        <v>201030000405Ara</v>
      </c>
      <c r="C163" s="35" t="s">
        <v>248</v>
      </c>
      <c r="D163" s="35" t="s">
        <v>249</v>
      </c>
      <c r="E163" s="36">
        <v>201030000405</v>
      </c>
      <c r="F163" s="36">
        <v>201030000405</v>
      </c>
      <c r="G163" s="35" t="s">
        <v>65</v>
      </c>
      <c r="H163" s="35" t="s">
        <v>367</v>
      </c>
      <c r="I163" s="35" t="s">
        <v>347</v>
      </c>
      <c r="J163" s="35" t="s">
        <v>12</v>
      </c>
      <c r="K163" s="37">
        <v>0</v>
      </c>
      <c r="L163" s="38">
        <v>0.21156120967741901</v>
      </c>
      <c r="M163" s="38">
        <f t="shared" si="9"/>
        <v>0</v>
      </c>
      <c r="N163" s="36">
        <v>20</v>
      </c>
      <c r="O163" s="39">
        <f t="shared" si="10"/>
        <v>0</v>
      </c>
      <c r="P163" s="37">
        <f t="shared" si="11"/>
        <v>0</v>
      </c>
      <c r="Q163" s="40" t="str">
        <f>IF(ISERROR(I163),"",IF(I163="","",IF(COUNTIF($I$3:I163,I163)&gt;1,"",IFERROR(SUMIFS(Base!$P$3:$P$980,Base!$I$3:$I$980,I163)/SUMIFS(Base!$L$3:$L$980,Base!$I$3:$I$980,I163),0)+ROW()/1000000)))</f>
        <v/>
      </c>
      <c r="R163" s="40" t="str">
        <f>IF(ISERROR(G163),"",IF(G163="","",IF(COUNTIF($G$3:G163,G163)&gt;1,"",IFERROR(SUMIFS(Base!$P$3:$P$980,Base!$G$3:$G$980,G163)/SUMIFS(Base!$L$3:$L$980,Base!$G$3:$G$980,G163),0)+ROW()/1000000)))</f>
        <v/>
      </c>
    </row>
    <row r="164" spans="2:18" ht="14.25" customHeight="1" x14ac:dyDescent="0.35">
      <c r="B164" s="35" t="str">
        <f t="shared" si="8"/>
        <v>201030000405Jpe</v>
      </c>
      <c r="C164" s="35" t="s">
        <v>248</v>
      </c>
      <c r="D164" s="35" t="s">
        <v>249</v>
      </c>
      <c r="E164" s="36">
        <v>201030000405</v>
      </c>
      <c r="F164" s="36">
        <v>201030000405</v>
      </c>
      <c r="G164" s="35" t="s">
        <v>65</v>
      </c>
      <c r="H164" s="35" t="s">
        <v>367</v>
      </c>
      <c r="I164" s="35" t="s">
        <v>347</v>
      </c>
      <c r="J164" s="35" t="s">
        <v>13</v>
      </c>
      <c r="K164" s="37">
        <v>0</v>
      </c>
      <c r="L164" s="38">
        <v>1.15561213709677</v>
      </c>
      <c r="M164" s="38">
        <f t="shared" si="9"/>
        <v>0</v>
      </c>
      <c r="N164" s="36">
        <v>20</v>
      </c>
      <c r="O164" s="39">
        <f t="shared" si="10"/>
        <v>0</v>
      </c>
      <c r="P164" s="37">
        <f t="shared" si="11"/>
        <v>0</v>
      </c>
      <c r="Q164" s="40" t="str">
        <f>IF(ISERROR(I164),"",IF(I164="","",IF(COUNTIF($I$3:I164,I164)&gt;1,"",IFERROR(SUMIFS(Base!$P$3:$P$980,Base!$I$3:$I$980,I164)/SUMIFS(Base!$L$3:$L$980,Base!$I$3:$I$980,I164),0)+ROW()/1000000)))</f>
        <v/>
      </c>
      <c r="R164" s="40" t="str">
        <f>IF(ISERROR(G164),"",IF(G164="","",IF(COUNTIF($G$3:G164,G164)&gt;1,"",IFERROR(SUMIFS(Base!$P$3:$P$980,Base!$G$3:$G$980,G164)/SUMIFS(Base!$L$3:$L$980,Base!$G$3:$G$980,G164),0)+ROW()/1000000)))</f>
        <v/>
      </c>
    </row>
    <row r="165" spans="2:18" ht="14.25" customHeight="1" x14ac:dyDescent="0.35">
      <c r="B165" s="35" t="str">
        <f t="shared" si="8"/>
        <v>201010000617Ara</v>
      </c>
      <c r="C165" s="35" t="s">
        <v>248</v>
      </c>
      <c r="D165" s="35" t="s">
        <v>249</v>
      </c>
      <c r="E165" s="36">
        <v>201010000617</v>
      </c>
      <c r="F165" s="36">
        <v>201010000617</v>
      </c>
      <c r="G165" s="35" t="s">
        <v>50</v>
      </c>
      <c r="H165" s="35" t="s">
        <v>368</v>
      </c>
      <c r="I165" s="35" t="s">
        <v>272</v>
      </c>
      <c r="J165" s="35" t="s">
        <v>12</v>
      </c>
      <c r="K165" s="37">
        <v>108</v>
      </c>
      <c r="L165" s="38">
        <v>2.5547871246077598</v>
      </c>
      <c r="M165" s="38">
        <f t="shared" si="9"/>
        <v>42.273580823913619</v>
      </c>
      <c r="N165" s="36">
        <v>24.9305555555556</v>
      </c>
      <c r="O165" s="39">
        <f t="shared" si="10"/>
        <v>24.9305555555556</v>
      </c>
      <c r="P165" s="37">
        <f t="shared" si="11"/>
        <v>63.692262342651901</v>
      </c>
      <c r="Q165" s="40" t="str">
        <f>IF(ISERROR(I165),"",IF(I165="","",IF(COUNTIF($I$3:I165,I165)&gt;1,"",IFERROR(SUMIFS(Base!$P$3:$P$980,Base!$I$3:$I$980,I165)/SUMIFS(Base!$L$3:$L$980,Base!$I$3:$I$980,I165),0)+ROW()/1000000)))</f>
        <v/>
      </c>
      <c r="R165" s="40" t="str">
        <f>IF(ISERROR(G165),"",IF(G165="","",IF(COUNTIF($G$3:G165,G165)&gt;1,"",IFERROR(SUMIFS(Base!$P$3:$P$980,Base!$G$3:$G$980,G165)/SUMIFS(Base!$L$3:$L$980,Base!$G$3:$G$980,G165),0)+ROW()/1000000)))</f>
        <v/>
      </c>
    </row>
    <row r="166" spans="2:18" ht="14.25" customHeight="1" x14ac:dyDescent="0.35">
      <c r="B166" s="35" t="str">
        <f t="shared" si="8"/>
        <v>201010000617Jpe</v>
      </c>
      <c r="C166" s="35" t="s">
        <v>248</v>
      </c>
      <c r="D166" s="35" t="s">
        <v>249</v>
      </c>
      <c r="E166" s="36">
        <v>201010000617</v>
      </c>
      <c r="F166" s="36">
        <v>201010000617</v>
      </c>
      <c r="G166" s="35" t="s">
        <v>50</v>
      </c>
      <c r="H166" s="35" t="s">
        <v>368</v>
      </c>
      <c r="I166" s="35" t="s">
        <v>272</v>
      </c>
      <c r="J166" s="35" t="s">
        <v>13</v>
      </c>
      <c r="K166" s="37">
        <v>42</v>
      </c>
      <c r="L166" s="38">
        <v>1.24296873595014</v>
      </c>
      <c r="M166" s="38">
        <f t="shared" si="9"/>
        <v>33.790069520851382</v>
      </c>
      <c r="N166" s="36">
        <v>24</v>
      </c>
      <c r="O166" s="39">
        <f t="shared" si="10"/>
        <v>24</v>
      </c>
      <c r="P166" s="37">
        <f t="shared" si="11"/>
        <v>29.831249662803359</v>
      </c>
      <c r="Q166" s="40" t="str">
        <f>IF(ISERROR(I166),"",IF(I166="","",IF(COUNTIF($I$3:I166,I166)&gt;1,"",IFERROR(SUMIFS(Base!$P$3:$P$980,Base!$I$3:$I$980,I166)/SUMIFS(Base!$L$3:$L$980,Base!$I$3:$I$980,I166),0)+ROW()/1000000)))</f>
        <v/>
      </c>
      <c r="R166" s="40" t="str">
        <f>IF(ISERROR(G166),"",IF(G166="","",IF(COUNTIF($G$3:G166,G166)&gt;1,"",IFERROR(SUMIFS(Base!$P$3:$P$980,Base!$G$3:$G$980,G166)/SUMIFS(Base!$L$3:$L$980,Base!$G$3:$G$980,G166),0)+ROW()/1000000)))</f>
        <v/>
      </c>
    </row>
    <row r="167" spans="2:18" ht="14.25" customHeight="1" x14ac:dyDescent="0.35">
      <c r="B167" s="35" t="str">
        <f t="shared" si="8"/>
        <v>201030000259Ara</v>
      </c>
      <c r="C167" s="35" t="s">
        <v>248</v>
      </c>
      <c r="D167" s="35" t="s">
        <v>249</v>
      </c>
      <c r="E167" s="36">
        <v>201030000259</v>
      </c>
      <c r="F167" s="36">
        <v>201030000259</v>
      </c>
      <c r="G167" s="35" t="s">
        <v>65</v>
      </c>
      <c r="H167" s="35" t="s">
        <v>369</v>
      </c>
      <c r="I167" s="35" t="s">
        <v>298</v>
      </c>
      <c r="J167" s="35" t="s">
        <v>12</v>
      </c>
      <c r="K167" s="37">
        <v>35</v>
      </c>
      <c r="L167" s="38">
        <v>2.6721353536664298</v>
      </c>
      <c r="M167" s="38">
        <f t="shared" si="9"/>
        <v>13.098138891795504</v>
      </c>
      <c r="N167" s="36">
        <v>16.9540636042403</v>
      </c>
      <c r="O167" s="39">
        <f t="shared" si="10"/>
        <v>13.098138891795504</v>
      </c>
      <c r="P167" s="37">
        <f t="shared" si="11"/>
        <v>35</v>
      </c>
      <c r="Q167" s="40" t="str">
        <f>IF(ISERROR(I167),"",IF(I167="","",IF(COUNTIF($I$3:I167,I167)&gt;1,"",IFERROR(SUMIFS(Base!$P$3:$P$980,Base!$I$3:$I$980,I167)/SUMIFS(Base!$L$3:$L$980,Base!$I$3:$I$980,I167),0)+ROW()/1000000)))</f>
        <v/>
      </c>
      <c r="R167" s="40" t="str">
        <f>IF(ISERROR(G167),"",IF(G167="","",IF(COUNTIF($G$3:G167,G167)&gt;1,"",IFERROR(SUMIFS(Base!$P$3:$P$980,Base!$G$3:$G$980,G167)/SUMIFS(Base!$L$3:$L$980,Base!$G$3:$G$980,G167),0)+ROW()/1000000)))</f>
        <v/>
      </c>
    </row>
    <row r="168" spans="2:18" ht="14.25" customHeight="1" x14ac:dyDescent="0.35">
      <c r="B168" s="35" t="str">
        <f t="shared" si="8"/>
        <v>201030000259Jpe</v>
      </c>
      <c r="C168" s="35" t="s">
        <v>248</v>
      </c>
      <c r="D168" s="35" t="s">
        <v>249</v>
      </c>
      <c r="E168" s="36">
        <v>201030000259</v>
      </c>
      <c r="F168" s="36">
        <v>201030000259</v>
      </c>
      <c r="G168" s="35" t="s">
        <v>65</v>
      </c>
      <c r="H168" s="35" t="s">
        <v>369</v>
      </c>
      <c r="I168" s="35" t="s">
        <v>298</v>
      </c>
      <c r="J168" s="35" t="s">
        <v>13</v>
      </c>
      <c r="K168" s="37">
        <v>52</v>
      </c>
      <c r="L168" s="38">
        <v>1.21503571710515</v>
      </c>
      <c r="M168" s="38">
        <f t="shared" si="9"/>
        <v>42.797095812040133</v>
      </c>
      <c r="N168" s="36">
        <v>17</v>
      </c>
      <c r="O168" s="39">
        <f t="shared" si="10"/>
        <v>17</v>
      </c>
      <c r="P168" s="37">
        <f t="shared" si="11"/>
        <v>20.655607190787549</v>
      </c>
      <c r="Q168" s="40" t="str">
        <f>IF(ISERROR(I168),"",IF(I168="","",IF(COUNTIF($I$3:I168,I168)&gt;1,"",IFERROR(SUMIFS(Base!$P$3:$P$980,Base!$I$3:$I$980,I168)/SUMIFS(Base!$L$3:$L$980,Base!$I$3:$I$980,I168),0)+ROW()/1000000)))</f>
        <v/>
      </c>
      <c r="R168" s="40" t="str">
        <f>IF(ISERROR(G168),"",IF(G168="","",IF(COUNTIF($G$3:G168,G168)&gt;1,"",IFERROR(SUMIFS(Base!$P$3:$P$980,Base!$G$3:$G$980,G168)/SUMIFS(Base!$L$3:$L$980,Base!$G$3:$G$980,G168),0)+ROW()/1000000)))</f>
        <v/>
      </c>
    </row>
    <row r="169" spans="2:18" ht="14.25" customHeight="1" x14ac:dyDescent="0.35">
      <c r="B169" s="35" t="str">
        <f t="shared" si="8"/>
        <v>201030000292Ara</v>
      </c>
      <c r="C169" s="35" t="s">
        <v>248</v>
      </c>
      <c r="D169" s="35" t="s">
        <v>237</v>
      </c>
      <c r="E169" s="36">
        <v>201030000292</v>
      </c>
      <c r="F169" s="36">
        <v>201030000292</v>
      </c>
      <c r="G169" s="35" t="s">
        <v>65</v>
      </c>
      <c r="H169" s="35" t="s">
        <v>370</v>
      </c>
      <c r="I169" s="35" t="s">
        <v>347</v>
      </c>
      <c r="J169" s="35" t="s">
        <v>12</v>
      </c>
      <c r="K169" s="37">
        <v>56</v>
      </c>
      <c r="L169" s="38">
        <v>1.52056451612903</v>
      </c>
      <c r="M169" s="38">
        <f t="shared" si="9"/>
        <v>36.828427472818937</v>
      </c>
      <c r="N169" s="36">
        <v>41</v>
      </c>
      <c r="O169" s="39">
        <f t="shared" si="10"/>
        <v>36.828427472818937</v>
      </c>
      <c r="P169" s="37">
        <f t="shared" si="11"/>
        <v>56</v>
      </c>
      <c r="Q169" s="40" t="str">
        <f>IF(ISERROR(I169),"",IF(I169="","",IF(COUNTIF($I$3:I169,I169)&gt;1,"",IFERROR(SUMIFS(Base!$P$3:$P$980,Base!$I$3:$I$980,I169)/SUMIFS(Base!$L$3:$L$980,Base!$I$3:$I$980,I169),0)+ROW()/1000000)))</f>
        <v/>
      </c>
      <c r="R169" s="40" t="str">
        <f>IF(ISERROR(G169),"",IF(G169="","",IF(COUNTIF($G$3:G169,G169)&gt;1,"",IFERROR(SUMIFS(Base!$P$3:$P$980,Base!$G$3:$G$980,G169)/SUMIFS(Base!$L$3:$L$980,Base!$G$3:$G$980,G169),0)+ROW()/1000000)))</f>
        <v/>
      </c>
    </row>
    <row r="170" spans="2:18" ht="14.25" customHeight="1" x14ac:dyDescent="0.35">
      <c r="B170" s="35" t="str">
        <f t="shared" si="8"/>
        <v>201030000292Jpe</v>
      </c>
      <c r="C170" s="35" t="s">
        <v>248</v>
      </c>
      <c r="D170" s="35" t="s">
        <v>237</v>
      </c>
      <c r="E170" s="36">
        <v>201030000292</v>
      </c>
      <c r="F170" s="36">
        <v>201030000292</v>
      </c>
      <c r="G170" s="35" t="s">
        <v>65</v>
      </c>
      <c r="H170" s="35" t="s">
        <v>370</v>
      </c>
      <c r="I170" s="35" t="s">
        <v>347</v>
      </c>
      <c r="J170" s="35" t="s">
        <v>13</v>
      </c>
      <c r="K170" s="37">
        <v>50</v>
      </c>
      <c r="L170" s="38">
        <v>7.0621774193548399</v>
      </c>
      <c r="M170" s="38">
        <f t="shared" si="9"/>
        <v>7.0799693962613182</v>
      </c>
      <c r="N170" s="36">
        <v>28</v>
      </c>
      <c r="O170" s="39">
        <f t="shared" si="10"/>
        <v>7.0799693962613182</v>
      </c>
      <c r="P170" s="37">
        <f t="shared" si="11"/>
        <v>50</v>
      </c>
      <c r="Q170" s="40" t="str">
        <f>IF(ISERROR(I170),"",IF(I170="","",IF(COUNTIF($I$3:I170,I170)&gt;1,"",IFERROR(SUMIFS(Base!$P$3:$P$980,Base!$I$3:$I$980,I170)/SUMIFS(Base!$L$3:$L$980,Base!$I$3:$I$980,I170),0)+ROW()/1000000)))</f>
        <v/>
      </c>
      <c r="R170" s="40" t="str">
        <f>IF(ISERROR(G170),"",IF(G170="","",IF(COUNTIF($G$3:G170,G170)&gt;1,"",IFERROR(SUMIFS(Base!$P$3:$P$980,Base!$G$3:$G$980,G170)/SUMIFS(Base!$L$3:$L$980,Base!$G$3:$G$980,G170),0)+ROW()/1000000)))</f>
        <v/>
      </c>
    </row>
    <row r="171" spans="2:18" ht="14.25" customHeight="1" x14ac:dyDescent="0.35">
      <c r="B171" s="35" t="str">
        <f t="shared" si="8"/>
        <v>201030000120Ara</v>
      </c>
      <c r="C171" s="35" t="s">
        <v>248</v>
      </c>
      <c r="D171" s="35" t="s">
        <v>249</v>
      </c>
      <c r="E171" s="36">
        <v>201030000120</v>
      </c>
      <c r="F171" s="36">
        <v>201030000120</v>
      </c>
      <c r="G171" s="35" t="s">
        <v>65</v>
      </c>
      <c r="H171" s="35" t="s">
        <v>371</v>
      </c>
      <c r="I171" s="35" t="s">
        <v>372</v>
      </c>
      <c r="J171" s="35" t="s">
        <v>12</v>
      </c>
      <c r="K171" s="37">
        <v>58</v>
      </c>
      <c r="L171" s="38">
        <v>1.0812903225806501</v>
      </c>
      <c r="M171" s="38">
        <f t="shared" si="9"/>
        <v>53.639618138424581</v>
      </c>
      <c r="N171" s="36">
        <v>22.658385093167698</v>
      </c>
      <c r="O171" s="39">
        <f t="shared" si="10"/>
        <v>22.658385093167698</v>
      </c>
      <c r="P171" s="37">
        <f t="shared" si="11"/>
        <v>24.500292526547891</v>
      </c>
      <c r="Q171" s="40">
        <f>IF(ISERROR(I171),"",IF(I171="","",IF(COUNTIF($I$3:I171,I171)&gt;1,"",IFERROR(SUMIFS(Base!$P$3:$P$980,Base!$I$3:$I$980,I171)/SUMIFS(Base!$L$3:$L$980,Base!$I$3:$I$980,I171),0)+ROW()/1000000)))</f>
        <v>21.196131161948365</v>
      </c>
      <c r="R171" s="40" t="str">
        <f>IF(ISERROR(G171),"",IF(G171="","",IF(COUNTIF($G$3:G171,G171)&gt;1,"",IFERROR(SUMIFS(Base!$P$3:$P$980,Base!$G$3:$G$980,G171)/SUMIFS(Base!$L$3:$L$980,Base!$G$3:$G$980,G171),0)+ROW()/1000000)))</f>
        <v/>
      </c>
    </row>
    <row r="172" spans="2:18" ht="14.25" customHeight="1" x14ac:dyDescent="0.35">
      <c r="B172" s="35" t="str">
        <f t="shared" si="8"/>
        <v>201030000120Jpe</v>
      </c>
      <c r="C172" s="35" t="s">
        <v>248</v>
      </c>
      <c r="D172" s="35" t="s">
        <v>249</v>
      </c>
      <c r="E172" s="36">
        <v>201030000120</v>
      </c>
      <c r="F172" s="36">
        <v>201030000120</v>
      </c>
      <c r="G172" s="35" t="s">
        <v>65</v>
      </c>
      <c r="H172" s="35" t="s">
        <v>371</v>
      </c>
      <c r="I172" s="35" t="s">
        <v>372</v>
      </c>
      <c r="J172" s="35" t="s">
        <v>13</v>
      </c>
      <c r="K172" s="37">
        <v>102</v>
      </c>
      <c r="L172" s="38">
        <v>2.1625806451612899</v>
      </c>
      <c r="M172" s="38">
        <f t="shared" si="9"/>
        <v>47.165871121718389</v>
      </c>
      <c r="N172" s="36">
        <v>20</v>
      </c>
      <c r="O172" s="39">
        <f t="shared" si="10"/>
        <v>20</v>
      </c>
      <c r="P172" s="37">
        <f t="shared" si="11"/>
        <v>43.251612903225798</v>
      </c>
      <c r="Q172" s="40" t="str">
        <f>IF(ISERROR(I172),"",IF(I172="","",IF(COUNTIF($I$3:I172,I172)&gt;1,"",IFERROR(SUMIFS(Base!$P$3:$P$980,Base!$I$3:$I$980,I172)/SUMIFS(Base!$L$3:$L$980,Base!$I$3:$I$980,I172),0)+ROW()/1000000)))</f>
        <v/>
      </c>
      <c r="R172" s="40" t="str">
        <f>IF(ISERROR(G172),"",IF(G172="","",IF(COUNTIF($G$3:G172,G172)&gt;1,"",IFERROR(SUMIFS(Base!$P$3:$P$980,Base!$G$3:$G$980,G172)/SUMIFS(Base!$L$3:$L$980,Base!$G$3:$G$980,G172),0)+ROW()/1000000)))</f>
        <v/>
      </c>
    </row>
    <row r="173" spans="2:18" ht="14.25" customHeight="1" x14ac:dyDescent="0.35">
      <c r="B173" s="35" t="str">
        <f t="shared" si="8"/>
        <v>201030000435Ara</v>
      </c>
      <c r="C173" s="35" t="s">
        <v>248</v>
      </c>
      <c r="D173" s="35" t="s">
        <v>249</v>
      </c>
      <c r="E173" s="36">
        <v>201030000435</v>
      </c>
      <c r="F173" s="36">
        <v>201030000435</v>
      </c>
      <c r="G173" s="35" t="s">
        <v>65</v>
      </c>
      <c r="H173" s="35" t="s">
        <v>373</v>
      </c>
      <c r="I173" s="35" t="s">
        <v>312</v>
      </c>
      <c r="J173" s="35" t="s">
        <v>12</v>
      </c>
      <c r="K173" s="37">
        <v>107</v>
      </c>
      <c r="L173" s="38">
        <v>1.70807737082209</v>
      </c>
      <c r="M173" s="38">
        <f t="shared" si="9"/>
        <v>62.643532329276972</v>
      </c>
      <c r="N173" s="36">
        <v>20.063583815028899</v>
      </c>
      <c r="O173" s="39">
        <f t="shared" si="10"/>
        <v>20.063583815028899</v>
      </c>
      <c r="P173" s="37">
        <f t="shared" si="11"/>
        <v>34.2701534920432</v>
      </c>
      <c r="Q173" s="40" t="str">
        <f>IF(ISERROR(I173),"",IF(I173="","",IF(COUNTIF($I$3:I173,I173)&gt;1,"",IFERROR(SUMIFS(Base!$P$3:$P$980,Base!$I$3:$I$980,I173)/SUMIFS(Base!$L$3:$L$980,Base!$I$3:$I$980,I173),0)+ROW()/1000000)))</f>
        <v/>
      </c>
      <c r="R173" s="40" t="str">
        <f>IF(ISERROR(G173),"",IF(G173="","",IF(COUNTIF($G$3:G173,G173)&gt;1,"",IFERROR(SUMIFS(Base!$P$3:$P$980,Base!$G$3:$G$980,G173)/SUMIFS(Base!$L$3:$L$980,Base!$G$3:$G$980,G173),0)+ROW()/1000000)))</f>
        <v/>
      </c>
    </row>
    <row r="174" spans="2:18" ht="14.25" customHeight="1" x14ac:dyDescent="0.35">
      <c r="B174" s="35" t="str">
        <f t="shared" si="8"/>
        <v>201030000435Jpe</v>
      </c>
      <c r="C174" s="35" t="s">
        <v>248</v>
      </c>
      <c r="D174" s="35" t="s">
        <v>249</v>
      </c>
      <c r="E174" s="36">
        <v>201030000435</v>
      </c>
      <c r="F174" s="36">
        <v>201030000435</v>
      </c>
      <c r="G174" s="35" t="s">
        <v>65</v>
      </c>
      <c r="H174" s="35" t="s">
        <v>373</v>
      </c>
      <c r="I174" s="35" t="s">
        <v>312</v>
      </c>
      <c r="J174" s="35" t="s">
        <v>13</v>
      </c>
      <c r="K174" s="37">
        <v>52</v>
      </c>
      <c r="L174" s="38">
        <v>1.38349894858497</v>
      </c>
      <c r="M174" s="38">
        <f t="shared" si="9"/>
        <v>37.585861596197901</v>
      </c>
      <c r="N174" s="36">
        <v>22</v>
      </c>
      <c r="O174" s="39">
        <f t="shared" si="10"/>
        <v>22</v>
      </c>
      <c r="P174" s="37">
        <f t="shared" si="11"/>
        <v>30.436976868869341</v>
      </c>
      <c r="Q174" s="40" t="str">
        <f>IF(ISERROR(I174),"",IF(I174="","",IF(COUNTIF($I$3:I174,I174)&gt;1,"",IFERROR(SUMIFS(Base!$P$3:$P$980,Base!$I$3:$I$980,I174)/SUMIFS(Base!$L$3:$L$980,Base!$I$3:$I$980,I174),0)+ROW()/1000000)))</f>
        <v/>
      </c>
      <c r="R174" s="40" t="str">
        <f>IF(ISERROR(G174),"",IF(G174="","",IF(COUNTIF($G$3:G174,G174)&gt;1,"",IFERROR(SUMIFS(Base!$P$3:$P$980,Base!$G$3:$G$980,G174)/SUMIFS(Base!$L$3:$L$980,Base!$G$3:$G$980,G174),0)+ROW()/1000000)))</f>
        <v/>
      </c>
    </row>
    <row r="175" spans="2:18" ht="14.25" customHeight="1" x14ac:dyDescent="0.35">
      <c r="B175" s="35" t="str">
        <f t="shared" si="8"/>
        <v>201030000144Ara</v>
      </c>
      <c r="C175" s="35" t="s">
        <v>248</v>
      </c>
      <c r="D175" s="35" t="s">
        <v>249</v>
      </c>
      <c r="E175" s="36">
        <v>201030000144</v>
      </c>
      <c r="F175" s="36">
        <v>201030000144</v>
      </c>
      <c r="G175" s="35" t="s">
        <v>65</v>
      </c>
      <c r="H175" s="35" t="s">
        <v>374</v>
      </c>
      <c r="I175" s="35" t="s">
        <v>322</v>
      </c>
      <c r="J175" s="35" t="s">
        <v>12</v>
      </c>
      <c r="K175" s="37">
        <v>64</v>
      </c>
      <c r="L175" s="38">
        <v>1.64018854185855</v>
      </c>
      <c r="M175" s="38">
        <f t="shared" si="9"/>
        <v>39.019904338241233</v>
      </c>
      <c r="N175" s="36">
        <v>20.359375</v>
      </c>
      <c r="O175" s="39">
        <f t="shared" si="10"/>
        <v>20.359375</v>
      </c>
      <c r="P175" s="37">
        <f t="shared" si="11"/>
        <v>33.393213594401416</v>
      </c>
      <c r="Q175" s="40" t="str">
        <f>IF(ISERROR(I175),"",IF(I175="","",IF(COUNTIF($I$3:I175,I175)&gt;1,"",IFERROR(SUMIFS(Base!$P$3:$P$980,Base!$I$3:$I$980,I175)/SUMIFS(Base!$L$3:$L$980,Base!$I$3:$I$980,I175),0)+ROW()/1000000)))</f>
        <v/>
      </c>
      <c r="R175" s="40" t="str">
        <f>IF(ISERROR(G175),"",IF(G175="","",IF(COUNTIF($G$3:G175,G175)&gt;1,"",IFERROR(SUMIFS(Base!$P$3:$P$980,Base!$G$3:$G$980,G175)/SUMIFS(Base!$L$3:$L$980,Base!$G$3:$G$980,G175),0)+ROW()/1000000)))</f>
        <v/>
      </c>
    </row>
    <row r="176" spans="2:18" ht="14.25" customHeight="1" x14ac:dyDescent="0.35">
      <c r="B176" s="35" t="str">
        <f t="shared" si="8"/>
        <v>201030000144Jpe</v>
      </c>
      <c r="C176" s="35" t="s">
        <v>248</v>
      </c>
      <c r="D176" s="35" t="s">
        <v>249</v>
      </c>
      <c r="E176" s="36">
        <v>201030000144</v>
      </c>
      <c r="F176" s="36">
        <v>201030000144</v>
      </c>
      <c r="G176" s="35" t="s">
        <v>65</v>
      </c>
      <c r="H176" s="35" t="s">
        <v>374</v>
      </c>
      <c r="I176" s="35" t="s">
        <v>322</v>
      </c>
      <c r="J176" s="35" t="s">
        <v>13</v>
      </c>
      <c r="K176" s="37">
        <v>18</v>
      </c>
      <c r="L176" s="38">
        <v>2.5372313018016599</v>
      </c>
      <c r="M176" s="38">
        <f t="shared" si="9"/>
        <v>7.0943472860430186</v>
      </c>
      <c r="N176" s="36">
        <v>19</v>
      </c>
      <c r="O176" s="39">
        <f t="shared" si="10"/>
        <v>7.0943472860430186</v>
      </c>
      <c r="P176" s="37">
        <f t="shared" si="11"/>
        <v>18</v>
      </c>
      <c r="Q176" s="40" t="str">
        <f>IF(ISERROR(I176),"",IF(I176="","",IF(COUNTIF($I$3:I176,I176)&gt;1,"",IFERROR(SUMIFS(Base!$P$3:$P$980,Base!$I$3:$I$980,I176)/SUMIFS(Base!$L$3:$L$980,Base!$I$3:$I$980,I176),0)+ROW()/1000000)))</f>
        <v/>
      </c>
      <c r="R176" s="40" t="str">
        <f>IF(ISERROR(G176),"",IF(G176="","",IF(COUNTIF($G$3:G176,G176)&gt;1,"",IFERROR(SUMIFS(Base!$P$3:$P$980,Base!$G$3:$G$980,G176)/SUMIFS(Base!$L$3:$L$980,Base!$G$3:$G$980,G176),0)+ROW()/1000000)))</f>
        <v/>
      </c>
    </row>
    <row r="177" spans="2:18" ht="14.25" customHeight="1" x14ac:dyDescent="0.35">
      <c r="B177" s="35" t="str">
        <f t="shared" si="8"/>
        <v>221000000791Ara</v>
      </c>
      <c r="C177" s="35" t="s">
        <v>248</v>
      </c>
      <c r="D177" s="35" t="s">
        <v>249</v>
      </c>
      <c r="E177" s="36">
        <v>221000000791</v>
      </c>
      <c r="F177" s="36">
        <v>221000000791</v>
      </c>
      <c r="G177" s="35" t="s">
        <v>65</v>
      </c>
      <c r="H177" s="35" t="s">
        <v>375</v>
      </c>
      <c r="I177" s="35" t="s">
        <v>376</v>
      </c>
      <c r="J177" s="35" t="s">
        <v>12</v>
      </c>
      <c r="K177" s="37">
        <v>67</v>
      </c>
      <c r="L177" s="38">
        <v>1.99426829317806</v>
      </c>
      <c r="M177" s="38">
        <f t="shared" si="9"/>
        <v>33.596282019421267</v>
      </c>
      <c r="N177" s="36">
        <v>15</v>
      </c>
      <c r="O177" s="39">
        <f t="shared" si="10"/>
        <v>15</v>
      </c>
      <c r="P177" s="37">
        <f t="shared" si="11"/>
        <v>29.9140243976709</v>
      </c>
      <c r="Q177" s="40">
        <f>IF(ISERROR(I177),"",IF(I177="","",IF(COUNTIF($I$3:I177,I177)&gt;1,"",IFERROR(SUMIFS(Base!$P$3:$P$980,Base!$I$3:$I$980,I177)/SUMIFS(Base!$L$3:$L$980,Base!$I$3:$I$980,I177),0)+ROW()/1000000)))</f>
        <v>15.000176999999997</v>
      </c>
      <c r="R177" s="40" t="str">
        <f>IF(ISERROR(G177),"",IF(G177="","",IF(COUNTIF($G$3:G177,G177)&gt;1,"",IFERROR(SUMIFS(Base!$P$3:$P$980,Base!$G$3:$G$980,G177)/SUMIFS(Base!$L$3:$L$980,Base!$G$3:$G$980,G177),0)+ROW()/1000000)))</f>
        <v/>
      </c>
    </row>
    <row r="178" spans="2:18" ht="14.25" customHeight="1" x14ac:dyDescent="0.35">
      <c r="B178" s="35" t="str">
        <f t="shared" si="8"/>
        <v>221000000791Jpe</v>
      </c>
      <c r="C178" s="35" t="s">
        <v>248</v>
      </c>
      <c r="D178" s="35" t="s">
        <v>249</v>
      </c>
      <c r="E178" s="36">
        <v>221000000791</v>
      </c>
      <c r="F178" s="36">
        <v>221000000791</v>
      </c>
      <c r="G178" s="35" t="s">
        <v>65</v>
      </c>
      <c r="H178" s="35" t="s">
        <v>375</v>
      </c>
      <c r="I178" s="35" t="s">
        <v>376</v>
      </c>
      <c r="J178" s="35" t="s">
        <v>13</v>
      </c>
      <c r="K178" s="37">
        <v>25</v>
      </c>
      <c r="L178" s="38">
        <v>0.77196081532711003</v>
      </c>
      <c r="M178" s="38">
        <f t="shared" si="9"/>
        <v>32.385063469065486</v>
      </c>
      <c r="N178" s="36">
        <v>15</v>
      </c>
      <c r="O178" s="39">
        <f t="shared" si="10"/>
        <v>15</v>
      </c>
      <c r="P178" s="37">
        <f t="shared" si="11"/>
        <v>11.57941222990665</v>
      </c>
      <c r="Q178" s="40" t="str">
        <f>IF(ISERROR(I178),"",IF(I178="","",IF(COUNTIF($I$3:I178,I178)&gt;1,"",IFERROR(SUMIFS(Base!$P$3:$P$980,Base!$I$3:$I$980,I178)/SUMIFS(Base!$L$3:$L$980,Base!$I$3:$I$980,I178),0)+ROW()/1000000)))</f>
        <v/>
      </c>
      <c r="R178" s="40" t="str">
        <f>IF(ISERROR(G178),"",IF(G178="","",IF(COUNTIF($G$3:G178,G178)&gt;1,"",IFERROR(SUMIFS(Base!$P$3:$P$980,Base!$G$3:$G$980,G178)/SUMIFS(Base!$L$3:$L$980,Base!$G$3:$G$980,G178),0)+ROW()/1000000)))</f>
        <v/>
      </c>
    </row>
    <row r="179" spans="2:18" ht="14.25" customHeight="1" x14ac:dyDescent="0.35">
      <c r="B179" s="35" t="str">
        <f t="shared" si="8"/>
        <v>221000000782Ara</v>
      </c>
      <c r="C179" s="35" t="s">
        <v>248</v>
      </c>
      <c r="D179" s="35" t="s">
        <v>249</v>
      </c>
      <c r="E179" s="36">
        <v>221000000782</v>
      </c>
      <c r="F179" s="36">
        <v>221000000782</v>
      </c>
      <c r="G179" s="35" t="s">
        <v>65</v>
      </c>
      <c r="H179" s="35" t="s">
        <v>377</v>
      </c>
      <c r="I179" s="35" t="s">
        <v>376</v>
      </c>
      <c r="J179" s="35" t="s">
        <v>12</v>
      </c>
      <c r="K179" s="37">
        <v>52</v>
      </c>
      <c r="L179" s="38">
        <v>2.2106512876950499</v>
      </c>
      <c r="M179" s="38">
        <f t="shared" si="9"/>
        <v>23.522479682545566</v>
      </c>
      <c r="N179" s="36">
        <v>15</v>
      </c>
      <c r="O179" s="39">
        <f t="shared" si="10"/>
        <v>15</v>
      </c>
      <c r="P179" s="37">
        <f t="shared" si="11"/>
        <v>33.159769315425748</v>
      </c>
      <c r="Q179" s="40" t="str">
        <f>IF(ISERROR(I179),"",IF(I179="","",IF(COUNTIF($I$3:I179,I179)&gt;1,"",IFERROR(SUMIFS(Base!$P$3:$P$980,Base!$I$3:$I$980,I179)/SUMIFS(Base!$L$3:$L$980,Base!$I$3:$I$980,I179),0)+ROW()/1000000)))</f>
        <v/>
      </c>
      <c r="R179" s="40" t="str">
        <f>IF(ISERROR(G179),"",IF(G179="","",IF(COUNTIF($G$3:G179,G179)&gt;1,"",IFERROR(SUMIFS(Base!$P$3:$P$980,Base!$G$3:$G$980,G179)/SUMIFS(Base!$L$3:$L$980,Base!$G$3:$G$980,G179),0)+ROW()/1000000)))</f>
        <v/>
      </c>
    </row>
    <row r="180" spans="2:18" ht="14.25" customHeight="1" x14ac:dyDescent="0.35">
      <c r="B180" s="35" t="str">
        <f t="shared" si="8"/>
        <v>221000000782Jpe</v>
      </c>
      <c r="C180" s="35" t="s">
        <v>248</v>
      </c>
      <c r="D180" s="35" t="s">
        <v>249</v>
      </c>
      <c r="E180" s="36">
        <v>221000000782</v>
      </c>
      <c r="F180" s="36">
        <v>221000000782</v>
      </c>
      <c r="G180" s="35" t="s">
        <v>65</v>
      </c>
      <c r="H180" s="35" t="s">
        <v>377</v>
      </c>
      <c r="I180" s="35" t="s">
        <v>376</v>
      </c>
      <c r="J180" s="35" t="s">
        <v>13</v>
      </c>
      <c r="K180" s="37">
        <v>20</v>
      </c>
      <c r="L180" s="38">
        <v>0.63275476666156605</v>
      </c>
      <c r="M180" s="38">
        <f t="shared" si="9"/>
        <v>31.607821945807892</v>
      </c>
      <c r="N180" s="36">
        <v>15</v>
      </c>
      <c r="O180" s="39">
        <f t="shared" si="10"/>
        <v>15</v>
      </c>
      <c r="P180" s="37">
        <f t="shared" si="11"/>
        <v>9.4913214999234903</v>
      </c>
      <c r="Q180" s="40" t="str">
        <f>IF(ISERROR(I180),"",IF(I180="","",IF(COUNTIF($I$3:I180,I180)&gt;1,"",IFERROR(SUMIFS(Base!$P$3:$P$980,Base!$I$3:$I$980,I180)/SUMIFS(Base!$L$3:$L$980,Base!$I$3:$I$980,I180),0)+ROW()/1000000)))</f>
        <v/>
      </c>
      <c r="R180" s="40" t="str">
        <f>IF(ISERROR(G180),"",IF(G180="","",IF(COUNTIF($G$3:G180,G180)&gt;1,"",IFERROR(SUMIFS(Base!$P$3:$P$980,Base!$G$3:$G$980,G180)/SUMIFS(Base!$L$3:$L$980,Base!$G$3:$G$980,G180),0)+ROW()/1000000)))</f>
        <v/>
      </c>
    </row>
    <row r="181" spans="2:18" ht="14.25" customHeight="1" x14ac:dyDescent="0.35">
      <c r="B181" s="35" t="str">
        <f t="shared" si="8"/>
        <v>201030000406Jpe</v>
      </c>
      <c r="C181" s="35" t="s">
        <v>248</v>
      </c>
      <c r="D181" s="35" t="s">
        <v>249</v>
      </c>
      <c r="E181" s="36">
        <v>201030000406</v>
      </c>
      <c r="F181" s="36">
        <v>201030000406</v>
      </c>
      <c r="G181" s="35" t="s">
        <v>65</v>
      </c>
      <c r="H181" s="35" t="s">
        <v>378</v>
      </c>
      <c r="I181" s="35" t="s">
        <v>347</v>
      </c>
      <c r="J181" s="35" t="s">
        <v>13</v>
      </c>
      <c r="K181" s="37">
        <v>-1</v>
      </c>
      <c r="L181" s="38">
        <v>0</v>
      </c>
      <c r="M181" s="38">
        <f t="shared" si="9"/>
        <v>0</v>
      </c>
      <c r="N181" s="36">
        <v>20</v>
      </c>
      <c r="O181" s="39">
        <f t="shared" si="10"/>
        <v>0</v>
      </c>
      <c r="P181" s="37">
        <f t="shared" si="11"/>
        <v>0</v>
      </c>
      <c r="Q181" s="40" t="str">
        <f>IF(ISERROR(I181),"",IF(I181="","",IF(COUNTIF($I$3:I181,I181)&gt;1,"",IFERROR(SUMIFS(Base!$P$3:$P$980,Base!$I$3:$I$980,I181)/SUMIFS(Base!$L$3:$L$980,Base!$I$3:$I$980,I181),0)+ROW()/1000000)))</f>
        <v/>
      </c>
      <c r="R181" s="40" t="str">
        <f>IF(ISERROR(G181),"",IF(G181="","",IF(COUNTIF($G$3:G181,G181)&gt;1,"",IFERROR(SUMIFS(Base!$P$3:$P$980,Base!$G$3:$G$980,G181)/SUMIFS(Base!$L$3:$L$980,Base!$G$3:$G$980,G181),0)+ROW()/1000000)))</f>
        <v/>
      </c>
    </row>
    <row r="182" spans="2:18" ht="14.25" customHeight="1" x14ac:dyDescent="0.35">
      <c r="B182" s="35" t="str">
        <f t="shared" si="8"/>
        <v>201030000261Ara</v>
      </c>
      <c r="C182" s="35" t="s">
        <v>248</v>
      </c>
      <c r="D182" s="35" t="s">
        <v>249</v>
      </c>
      <c r="E182" s="36">
        <v>201030000261</v>
      </c>
      <c r="F182" s="36">
        <v>201030000261</v>
      </c>
      <c r="G182" s="35" t="s">
        <v>65</v>
      </c>
      <c r="H182" s="35" t="s">
        <v>379</v>
      </c>
      <c r="I182" s="35" t="s">
        <v>298</v>
      </c>
      <c r="J182" s="35" t="s">
        <v>12</v>
      </c>
      <c r="K182" s="37">
        <v>0</v>
      </c>
      <c r="L182" s="38">
        <v>1.1975235656529799</v>
      </c>
      <c r="M182" s="38">
        <f t="shared" si="9"/>
        <v>0</v>
      </c>
      <c r="N182" s="36">
        <v>15.782945736434099</v>
      </c>
      <c r="O182" s="39">
        <f t="shared" si="10"/>
        <v>0</v>
      </c>
      <c r="P182" s="37">
        <f t="shared" si="11"/>
        <v>0</v>
      </c>
      <c r="Q182" s="40" t="str">
        <f>IF(ISERROR(I182),"",IF(I182="","",IF(COUNTIF($I$3:I182,I182)&gt;1,"",IFERROR(SUMIFS(Base!$P$3:$P$980,Base!$I$3:$I$980,I182)/SUMIFS(Base!$L$3:$L$980,Base!$I$3:$I$980,I182),0)+ROW()/1000000)))</f>
        <v/>
      </c>
      <c r="R182" s="40" t="str">
        <f>IF(ISERROR(G182),"",IF(G182="","",IF(COUNTIF($G$3:G182,G182)&gt;1,"",IFERROR(SUMIFS(Base!$P$3:$P$980,Base!$G$3:$G$980,G182)/SUMIFS(Base!$L$3:$L$980,Base!$G$3:$G$980,G182),0)+ROW()/1000000)))</f>
        <v/>
      </c>
    </row>
    <row r="183" spans="2:18" ht="14.25" customHeight="1" x14ac:dyDescent="0.35">
      <c r="B183" s="35" t="str">
        <f t="shared" si="8"/>
        <v>201030000261Jpe</v>
      </c>
      <c r="C183" s="35" t="s">
        <v>248</v>
      </c>
      <c r="D183" s="35" t="s">
        <v>249</v>
      </c>
      <c r="E183" s="36">
        <v>201030000261</v>
      </c>
      <c r="F183" s="36">
        <v>201030000261</v>
      </c>
      <c r="G183" s="35" t="s">
        <v>65</v>
      </c>
      <c r="H183" s="35" t="s">
        <v>379</v>
      </c>
      <c r="I183" s="35" t="s">
        <v>298</v>
      </c>
      <c r="J183" s="35" t="s">
        <v>13</v>
      </c>
      <c r="K183" s="37">
        <v>9</v>
      </c>
      <c r="L183" s="38">
        <v>0.42337617697359597</v>
      </c>
      <c r="M183" s="38">
        <f t="shared" si="9"/>
        <v>21.257691125500642</v>
      </c>
      <c r="N183" s="36">
        <v>30</v>
      </c>
      <c r="O183" s="39">
        <f t="shared" si="10"/>
        <v>21.257691125500642</v>
      </c>
      <c r="P183" s="37">
        <f t="shared" si="11"/>
        <v>9</v>
      </c>
      <c r="Q183" s="40" t="str">
        <f>IF(ISERROR(I183),"",IF(I183="","",IF(COUNTIF($I$3:I183,I183)&gt;1,"",IFERROR(SUMIFS(Base!$P$3:$P$980,Base!$I$3:$I$980,I183)/SUMIFS(Base!$L$3:$L$980,Base!$I$3:$I$980,I183),0)+ROW()/1000000)))</f>
        <v/>
      </c>
      <c r="R183" s="40" t="str">
        <f>IF(ISERROR(G183),"",IF(G183="","",IF(COUNTIF($G$3:G183,G183)&gt;1,"",IFERROR(SUMIFS(Base!$P$3:$P$980,Base!$G$3:$G$980,G183)/SUMIFS(Base!$L$3:$L$980,Base!$G$3:$G$980,G183),0)+ROW()/1000000)))</f>
        <v/>
      </c>
    </row>
    <row r="184" spans="2:18" ht="14.25" customHeight="1" x14ac:dyDescent="0.35">
      <c r="B184" s="35" t="str">
        <f t="shared" si="8"/>
        <v>201030000126Ara</v>
      </c>
      <c r="C184" s="35" t="s">
        <v>248</v>
      </c>
      <c r="D184" s="35" t="s">
        <v>249</v>
      </c>
      <c r="E184" s="36">
        <v>201030000126</v>
      </c>
      <c r="F184" s="36">
        <v>201030000126</v>
      </c>
      <c r="G184" s="35" t="s">
        <v>65</v>
      </c>
      <c r="H184" s="35" t="s">
        <v>380</v>
      </c>
      <c r="I184" s="35" t="s">
        <v>322</v>
      </c>
      <c r="J184" s="35" t="s">
        <v>12</v>
      </c>
      <c r="K184" s="37">
        <v>70</v>
      </c>
      <c r="L184" s="38">
        <v>1.0902785483871</v>
      </c>
      <c r="M184" s="38">
        <f t="shared" si="9"/>
        <v>64.203776276763648</v>
      </c>
      <c r="N184" s="36">
        <v>19.5230769230769</v>
      </c>
      <c r="O184" s="39">
        <f t="shared" si="10"/>
        <v>19.5230769230769</v>
      </c>
      <c r="P184" s="37">
        <f t="shared" si="11"/>
        <v>21.285591967741976</v>
      </c>
      <c r="Q184" s="40" t="str">
        <f>IF(ISERROR(I184),"",IF(I184="","",IF(COUNTIF($I$3:I184,I184)&gt;1,"",IFERROR(SUMIFS(Base!$P$3:$P$980,Base!$I$3:$I$980,I184)/SUMIFS(Base!$L$3:$L$980,Base!$I$3:$I$980,I184),0)+ROW()/1000000)))</f>
        <v/>
      </c>
      <c r="R184" s="40" t="str">
        <f>IF(ISERROR(G184),"",IF(G184="","",IF(COUNTIF($G$3:G184,G184)&gt;1,"",IFERROR(SUMIFS(Base!$P$3:$P$980,Base!$G$3:$G$980,G184)/SUMIFS(Base!$L$3:$L$980,Base!$G$3:$G$980,G184),0)+ROW()/1000000)))</f>
        <v/>
      </c>
    </row>
    <row r="185" spans="2:18" ht="14.25" customHeight="1" x14ac:dyDescent="0.35">
      <c r="B185" s="35" t="str">
        <f t="shared" si="8"/>
        <v>201030000126Jpe</v>
      </c>
      <c r="C185" s="35" t="s">
        <v>248</v>
      </c>
      <c r="D185" s="35" t="s">
        <v>249</v>
      </c>
      <c r="E185" s="36">
        <v>201030000126</v>
      </c>
      <c r="F185" s="36">
        <v>201030000126</v>
      </c>
      <c r="G185" s="35" t="s">
        <v>65</v>
      </c>
      <c r="H185" s="35" t="s">
        <v>380</v>
      </c>
      <c r="I185" s="35" t="s">
        <v>322</v>
      </c>
      <c r="J185" s="35" t="s">
        <v>13</v>
      </c>
      <c r="K185" s="37">
        <v>20</v>
      </c>
      <c r="L185" s="38">
        <v>0.497258387096775</v>
      </c>
      <c r="M185" s="38">
        <f t="shared" si="9"/>
        <v>40.220538293520342</v>
      </c>
      <c r="N185" s="36">
        <v>18</v>
      </c>
      <c r="O185" s="39">
        <f t="shared" si="10"/>
        <v>18</v>
      </c>
      <c r="P185" s="37">
        <f t="shared" si="11"/>
        <v>8.9506509677419501</v>
      </c>
      <c r="Q185" s="40" t="str">
        <f>IF(ISERROR(I185),"",IF(I185="","",IF(COUNTIF($I$3:I185,I185)&gt;1,"",IFERROR(SUMIFS(Base!$P$3:$P$980,Base!$I$3:$I$980,I185)/SUMIFS(Base!$L$3:$L$980,Base!$I$3:$I$980,I185),0)+ROW()/1000000)))</f>
        <v/>
      </c>
      <c r="R185" s="40" t="str">
        <f>IF(ISERROR(G185),"",IF(G185="","",IF(COUNTIF($G$3:G185,G185)&gt;1,"",IFERROR(SUMIFS(Base!$P$3:$P$980,Base!$G$3:$G$980,G185)/SUMIFS(Base!$L$3:$L$980,Base!$G$3:$G$980,G185),0)+ROW()/1000000)))</f>
        <v/>
      </c>
    </row>
    <row r="186" spans="2:18" ht="14.25" customHeight="1" x14ac:dyDescent="0.35">
      <c r="B186" s="35" t="str">
        <f t="shared" si="8"/>
        <v>201030000130Ara</v>
      </c>
      <c r="C186" s="35" t="s">
        <v>248</v>
      </c>
      <c r="D186" s="35" t="s">
        <v>249</v>
      </c>
      <c r="E186" s="36">
        <v>201030000130</v>
      </c>
      <c r="F186" s="36">
        <v>201030000130</v>
      </c>
      <c r="G186" s="35" t="s">
        <v>65</v>
      </c>
      <c r="H186" s="35" t="s">
        <v>381</v>
      </c>
      <c r="I186" s="35" t="s">
        <v>322</v>
      </c>
      <c r="J186" s="35" t="s">
        <v>12</v>
      </c>
      <c r="K186" s="37">
        <v>24</v>
      </c>
      <c r="L186" s="38">
        <v>0</v>
      </c>
      <c r="M186" s="38">
        <f t="shared" si="9"/>
        <v>0</v>
      </c>
      <c r="N186" s="36">
        <v>20.548387096774199</v>
      </c>
      <c r="O186" s="39">
        <f t="shared" si="10"/>
        <v>0</v>
      </c>
      <c r="P186" s="37">
        <f t="shared" si="11"/>
        <v>0</v>
      </c>
      <c r="Q186" s="40" t="str">
        <f>IF(ISERROR(I186),"",IF(I186="","",IF(COUNTIF($I$3:I186,I186)&gt;1,"",IFERROR(SUMIFS(Base!$P$3:$P$980,Base!$I$3:$I$980,I186)/SUMIFS(Base!$L$3:$L$980,Base!$I$3:$I$980,I186),0)+ROW()/1000000)))</f>
        <v/>
      </c>
      <c r="R186" s="40" t="str">
        <f>IF(ISERROR(G186),"",IF(G186="","",IF(COUNTIF($G$3:G186,G186)&gt;1,"",IFERROR(SUMIFS(Base!$P$3:$P$980,Base!$G$3:$G$980,G186)/SUMIFS(Base!$L$3:$L$980,Base!$G$3:$G$980,G186),0)+ROW()/1000000)))</f>
        <v/>
      </c>
    </row>
    <row r="187" spans="2:18" ht="14.25" customHeight="1" x14ac:dyDescent="0.35">
      <c r="B187" s="35" t="str">
        <f t="shared" si="8"/>
        <v>201030000130Jpe</v>
      </c>
      <c r="C187" s="35" t="s">
        <v>248</v>
      </c>
      <c r="D187" s="35" t="s">
        <v>249</v>
      </c>
      <c r="E187" s="36">
        <v>201030000130</v>
      </c>
      <c r="F187" s="36">
        <v>201030000130</v>
      </c>
      <c r="G187" s="35" t="s">
        <v>65</v>
      </c>
      <c r="H187" s="35" t="s">
        <v>381</v>
      </c>
      <c r="I187" s="35" t="s">
        <v>322</v>
      </c>
      <c r="J187" s="35" t="s">
        <v>13</v>
      </c>
      <c r="K187" s="37">
        <v>22</v>
      </c>
      <c r="L187" s="38">
        <v>0</v>
      </c>
      <c r="M187" s="38">
        <f t="shared" si="9"/>
        <v>0</v>
      </c>
      <c r="N187" s="36">
        <v>17</v>
      </c>
      <c r="O187" s="39">
        <f t="shared" si="10"/>
        <v>0</v>
      </c>
      <c r="P187" s="37">
        <f t="shared" si="11"/>
        <v>0</v>
      </c>
      <c r="Q187" s="40" t="str">
        <f>IF(ISERROR(I187),"",IF(I187="","",IF(COUNTIF($I$3:I187,I187)&gt;1,"",IFERROR(SUMIFS(Base!$P$3:$P$980,Base!$I$3:$I$980,I187)/SUMIFS(Base!$L$3:$L$980,Base!$I$3:$I$980,I187),0)+ROW()/1000000)))</f>
        <v/>
      </c>
      <c r="R187" s="40" t="str">
        <f>IF(ISERROR(G187),"",IF(G187="","",IF(COUNTIF($G$3:G187,G187)&gt;1,"",IFERROR(SUMIFS(Base!$P$3:$P$980,Base!$G$3:$G$980,G187)/SUMIFS(Base!$L$3:$L$980,Base!$G$3:$G$980,G187),0)+ROW()/1000000)))</f>
        <v/>
      </c>
    </row>
    <row r="188" spans="2:18" ht="14.25" customHeight="1" x14ac:dyDescent="0.35">
      <c r="B188" s="35" t="str">
        <f t="shared" si="8"/>
        <v>201030000409Ara</v>
      </c>
      <c r="C188" s="35" t="s">
        <v>248</v>
      </c>
      <c r="D188" s="35" t="s">
        <v>249</v>
      </c>
      <c r="E188" s="36">
        <v>201030000409</v>
      </c>
      <c r="F188" s="36">
        <v>201030000409</v>
      </c>
      <c r="G188" s="35" t="s">
        <v>65</v>
      </c>
      <c r="H188" s="35" t="s">
        <v>382</v>
      </c>
      <c r="I188" s="35" t="s">
        <v>268</v>
      </c>
      <c r="J188" s="35" t="s">
        <v>12</v>
      </c>
      <c r="K188" s="37">
        <v>111</v>
      </c>
      <c r="L188" s="38">
        <v>0.90862177419354895</v>
      </c>
      <c r="M188" s="38">
        <f t="shared" si="9"/>
        <v>122.16304204080792</v>
      </c>
      <c r="N188" s="36">
        <v>23.921052631578998</v>
      </c>
      <c r="O188" s="39">
        <f t="shared" si="10"/>
        <v>23.921052631578998</v>
      </c>
      <c r="P188" s="37">
        <f t="shared" si="11"/>
        <v>21.735189282682573</v>
      </c>
      <c r="Q188" s="40" t="str">
        <f>IF(ISERROR(I188),"",IF(I188="","",IF(COUNTIF($I$3:I188,I188)&gt;1,"",IFERROR(SUMIFS(Base!$P$3:$P$980,Base!$I$3:$I$980,I188)/SUMIFS(Base!$L$3:$L$980,Base!$I$3:$I$980,I188),0)+ROW()/1000000)))</f>
        <v/>
      </c>
      <c r="R188" s="40" t="str">
        <f>IF(ISERROR(G188),"",IF(G188="","",IF(COUNTIF($G$3:G188,G188)&gt;1,"",IFERROR(SUMIFS(Base!$P$3:$P$980,Base!$G$3:$G$980,G188)/SUMIFS(Base!$L$3:$L$980,Base!$G$3:$G$980,G188),0)+ROW()/1000000)))</f>
        <v/>
      </c>
    </row>
    <row r="189" spans="2:18" ht="14.25" customHeight="1" x14ac:dyDescent="0.35">
      <c r="B189" s="35" t="str">
        <f t="shared" si="8"/>
        <v>201030000409Jpe</v>
      </c>
      <c r="C189" s="35" t="s">
        <v>248</v>
      </c>
      <c r="D189" s="35" t="s">
        <v>249</v>
      </c>
      <c r="E189" s="36">
        <v>201030000409</v>
      </c>
      <c r="F189" s="36">
        <v>201030000409</v>
      </c>
      <c r="G189" s="35" t="s">
        <v>65</v>
      </c>
      <c r="H189" s="35" t="s">
        <v>382</v>
      </c>
      <c r="I189" s="35" t="s">
        <v>268</v>
      </c>
      <c r="J189" s="35" t="s">
        <v>13</v>
      </c>
      <c r="K189" s="37">
        <v>46</v>
      </c>
      <c r="L189" s="38">
        <v>0.58170040322580696</v>
      </c>
      <c r="M189" s="38">
        <f t="shared" si="9"/>
        <v>79.078508017027318</v>
      </c>
      <c r="N189" s="36">
        <v>27</v>
      </c>
      <c r="O189" s="39">
        <f t="shared" si="10"/>
        <v>27</v>
      </c>
      <c r="P189" s="37">
        <f t="shared" si="11"/>
        <v>15.705910887096788</v>
      </c>
      <c r="Q189" s="40" t="str">
        <f>IF(ISERROR(I189),"",IF(I189="","",IF(COUNTIF($I$3:I189,I189)&gt;1,"",IFERROR(SUMIFS(Base!$P$3:$P$980,Base!$I$3:$I$980,I189)/SUMIFS(Base!$L$3:$L$980,Base!$I$3:$I$980,I189),0)+ROW()/1000000)))</f>
        <v/>
      </c>
      <c r="R189" s="40" t="str">
        <f>IF(ISERROR(G189),"",IF(G189="","",IF(COUNTIF($G$3:G189,G189)&gt;1,"",IFERROR(SUMIFS(Base!$P$3:$P$980,Base!$G$3:$G$980,G189)/SUMIFS(Base!$L$3:$L$980,Base!$G$3:$G$980,G189),0)+ROW()/1000000)))</f>
        <v/>
      </c>
    </row>
    <row r="190" spans="2:18" ht="14.25" customHeight="1" x14ac:dyDescent="0.35">
      <c r="B190" s="35" t="str">
        <f t="shared" si="8"/>
        <v>201030000416Ara</v>
      </c>
      <c r="C190" s="35" t="s">
        <v>248</v>
      </c>
      <c r="D190" s="35" t="s">
        <v>249</v>
      </c>
      <c r="E190" s="36">
        <v>201030000416</v>
      </c>
      <c r="F190" s="36">
        <v>201030000416</v>
      </c>
      <c r="G190" s="35" t="s">
        <v>65</v>
      </c>
      <c r="H190" s="35" t="s">
        <v>383</v>
      </c>
      <c r="I190" s="35" t="s">
        <v>268</v>
      </c>
      <c r="J190" s="35" t="s">
        <v>12</v>
      </c>
      <c r="K190" s="37">
        <v>8</v>
      </c>
      <c r="L190" s="38">
        <v>1.04981180743387</v>
      </c>
      <c r="M190" s="38">
        <f t="shared" si="9"/>
        <v>7.6204134334847797</v>
      </c>
      <c r="N190" s="36">
        <v>42</v>
      </c>
      <c r="O190" s="39">
        <f t="shared" si="10"/>
        <v>7.6204134334847797</v>
      </c>
      <c r="P190" s="37">
        <f t="shared" si="11"/>
        <v>8</v>
      </c>
      <c r="Q190" s="40" t="str">
        <f>IF(ISERROR(I190),"",IF(I190="","",IF(COUNTIF($I$3:I190,I190)&gt;1,"",IFERROR(SUMIFS(Base!$P$3:$P$980,Base!$I$3:$I$980,I190)/SUMIFS(Base!$L$3:$L$980,Base!$I$3:$I$980,I190),0)+ROW()/1000000)))</f>
        <v/>
      </c>
      <c r="R190" s="40" t="str">
        <f>IF(ISERROR(G190),"",IF(G190="","",IF(COUNTIF($G$3:G190,G190)&gt;1,"",IFERROR(SUMIFS(Base!$P$3:$P$980,Base!$G$3:$G$980,G190)/SUMIFS(Base!$L$3:$L$980,Base!$G$3:$G$980,G190),0)+ROW()/1000000)))</f>
        <v/>
      </c>
    </row>
    <row r="191" spans="2:18" ht="14.25" customHeight="1" x14ac:dyDescent="0.35">
      <c r="B191" s="35" t="str">
        <f t="shared" ref="B191:B202" si="12">E191&amp;J191</f>
        <v>201030000258Ara</v>
      </c>
      <c r="C191" s="35" t="s">
        <v>248</v>
      </c>
      <c r="D191" s="35" t="s">
        <v>249</v>
      </c>
      <c r="E191" s="36">
        <v>201030000258</v>
      </c>
      <c r="F191" s="36">
        <v>201030000258</v>
      </c>
      <c r="G191" s="35" t="s">
        <v>65</v>
      </c>
      <c r="H191" s="35" t="s">
        <v>384</v>
      </c>
      <c r="I191" s="35" t="s">
        <v>298</v>
      </c>
      <c r="J191" s="35" t="s">
        <v>12</v>
      </c>
      <c r="K191" s="37">
        <v>36</v>
      </c>
      <c r="L191" s="38">
        <v>0.81871452229375596</v>
      </c>
      <c r="M191" s="38">
        <f t="shared" ref="M191:M202" si="13">IFERROR(K191/L191,0)</f>
        <v>43.971370996498763</v>
      </c>
      <c r="N191" s="36">
        <v>45</v>
      </c>
      <c r="O191" s="39">
        <f t="shared" ref="O191:O202" si="14">IF(M191&gt;N191,N191,M191)</f>
        <v>43.971370996498763</v>
      </c>
      <c r="P191" s="37">
        <f t="shared" ref="P191:P202" si="15">O191*L191</f>
        <v>36</v>
      </c>
      <c r="Q191" s="40" t="str">
        <f>IF(ISERROR(I191),"",IF(I191="","",IF(COUNTIF($I$3:I191,I191)&gt;1,"",IFERROR(SUMIFS(Base!$P$3:$P$980,Base!$I$3:$I$980,I191)/SUMIFS(Base!$L$3:$L$980,Base!$I$3:$I$980,I191),0)+ROW()/1000000)))</f>
        <v/>
      </c>
      <c r="R191" s="40" t="str">
        <f>IF(ISERROR(G191),"",IF(G191="","",IF(COUNTIF($G$3:G191,G191)&gt;1,"",IFERROR(SUMIFS(Base!$P$3:$P$980,Base!$G$3:$G$980,G191)/SUMIFS(Base!$L$3:$L$980,Base!$G$3:$G$980,G191),0)+ROW()/1000000)))</f>
        <v/>
      </c>
    </row>
    <row r="192" spans="2:18" ht="14.25" customHeight="1" x14ac:dyDescent="0.35">
      <c r="B192" s="35" t="str">
        <f t="shared" si="12"/>
        <v>201030000258Jpe</v>
      </c>
      <c r="C192" s="35" t="s">
        <v>248</v>
      </c>
      <c r="D192" s="35" t="s">
        <v>249</v>
      </c>
      <c r="E192" s="36">
        <v>201030000258</v>
      </c>
      <c r="F192" s="36">
        <v>201030000258</v>
      </c>
      <c r="G192" s="35" t="s">
        <v>65</v>
      </c>
      <c r="H192" s="35" t="s">
        <v>384</v>
      </c>
      <c r="I192" s="35" t="s">
        <v>298</v>
      </c>
      <c r="J192" s="35" t="s">
        <v>13</v>
      </c>
      <c r="K192" s="37">
        <v>13</v>
      </c>
      <c r="L192" s="38">
        <v>0.389301884558375</v>
      </c>
      <c r="M192" s="38">
        <f t="shared" si="13"/>
        <v>33.393108319388773</v>
      </c>
      <c r="N192" s="36">
        <v>48</v>
      </c>
      <c r="O192" s="39">
        <f t="shared" si="14"/>
        <v>33.393108319388773</v>
      </c>
      <c r="P192" s="37">
        <f t="shared" si="15"/>
        <v>13</v>
      </c>
      <c r="Q192" s="40" t="str">
        <f>IF(ISERROR(I192),"",IF(I192="","",IF(COUNTIF($I$3:I192,I192)&gt;1,"",IFERROR(SUMIFS(Base!$P$3:$P$980,Base!$I$3:$I$980,I192)/SUMIFS(Base!$L$3:$L$980,Base!$I$3:$I$980,I192),0)+ROW()/1000000)))</f>
        <v/>
      </c>
      <c r="R192" s="40" t="str">
        <f>IF(ISERROR(G192),"",IF(G192="","",IF(COUNTIF($G$3:G192,G192)&gt;1,"",IFERROR(SUMIFS(Base!$P$3:$P$980,Base!$G$3:$G$980,G192)/SUMIFS(Base!$L$3:$L$980,Base!$G$3:$G$980,G192),0)+ROW()/1000000)))</f>
        <v/>
      </c>
    </row>
    <row r="193" spans="2:18" ht="14.25" customHeight="1" x14ac:dyDescent="0.35">
      <c r="B193" s="35" t="str">
        <f t="shared" si="12"/>
        <v>201030000260Ara</v>
      </c>
      <c r="C193" s="35" t="s">
        <v>248</v>
      </c>
      <c r="D193" s="35" t="s">
        <v>249</v>
      </c>
      <c r="E193" s="36">
        <v>201030000260</v>
      </c>
      <c r="F193" s="36">
        <v>201030000260</v>
      </c>
      <c r="G193" s="35" t="s">
        <v>65</v>
      </c>
      <c r="H193" s="35" t="s">
        <v>385</v>
      </c>
      <c r="I193" s="35" t="s">
        <v>298</v>
      </c>
      <c r="J193" s="35" t="s">
        <v>12</v>
      </c>
      <c r="K193" s="37">
        <v>33</v>
      </c>
      <c r="L193" s="38">
        <v>0.441468760762254</v>
      </c>
      <c r="M193" s="38">
        <f t="shared" si="13"/>
        <v>74.750475986162982</v>
      </c>
      <c r="N193" s="36">
        <v>22</v>
      </c>
      <c r="O193" s="39">
        <f t="shared" si="14"/>
        <v>22</v>
      </c>
      <c r="P193" s="37">
        <f t="shared" si="15"/>
        <v>9.7123127367695883</v>
      </c>
      <c r="Q193" s="40" t="str">
        <f>IF(ISERROR(I193),"",IF(I193="","",IF(COUNTIF($I$3:I193,I193)&gt;1,"",IFERROR(SUMIFS(Base!$P$3:$P$980,Base!$I$3:$I$980,I193)/SUMIFS(Base!$L$3:$L$980,Base!$I$3:$I$980,I193),0)+ROW()/1000000)))</f>
        <v/>
      </c>
      <c r="R193" s="40" t="str">
        <f>IF(ISERROR(G193),"",IF(G193="","",IF(COUNTIF($G$3:G193,G193)&gt;1,"",IFERROR(SUMIFS(Base!$P$3:$P$980,Base!$G$3:$G$980,G193)/SUMIFS(Base!$L$3:$L$980,Base!$G$3:$G$980,G193),0)+ROW()/1000000)))</f>
        <v/>
      </c>
    </row>
    <row r="194" spans="2:18" ht="14.25" customHeight="1" x14ac:dyDescent="0.35">
      <c r="B194" s="35" t="str">
        <f t="shared" si="12"/>
        <v>201030000260Jpe</v>
      </c>
      <c r="C194" s="35" t="s">
        <v>248</v>
      </c>
      <c r="D194" s="35" t="s">
        <v>249</v>
      </c>
      <c r="E194" s="36">
        <v>201030000260</v>
      </c>
      <c r="F194" s="36">
        <v>201030000260</v>
      </c>
      <c r="G194" s="35" t="s">
        <v>65</v>
      </c>
      <c r="H194" s="35" t="s">
        <v>385</v>
      </c>
      <c r="I194" s="35" t="s">
        <v>298</v>
      </c>
      <c r="J194" s="35" t="s">
        <v>13</v>
      </c>
      <c r="K194" s="37">
        <v>5</v>
      </c>
      <c r="L194" s="38">
        <v>0.16038378199976999</v>
      </c>
      <c r="M194" s="38">
        <f t="shared" si="13"/>
        <v>31.175221943620027</v>
      </c>
      <c r="N194" s="36">
        <v>23</v>
      </c>
      <c r="O194" s="39">
        <f t="shared" si="14"/>
        <v>23</v>
      </c>
      <c r="P194" s="37">
        <f t="shared" si="15"/>
        <v>3.6888269859947096</v>
      </c>
      <c r="Q194" s="40" t="str">
        <f>IF(ISERROR(I194),"",IF(I194="","",IF(COUNTIF($I$3:I194,I194)&gt;1,"",IFERROR(SUMIFS(Base!$P$3:$P$980,Base!$I$3:$I$980,I194)/SUMIFS(Base!$L$3:$L$980,Base!$I$3:$I$980,I194),0)+ROW()/1000000)))</f>
        <v/>
      </c>
      <c r="R194" s="40" t="str">
        <f>IF(ISERROR(G194),"",IF(G194="","",IF(COUNTIF($G$3:G194,G194)&gt;1,"",IFERROR(SUMIFS(Base!$P$3:$P$980,Base!$G$3:$G$980,G194)/SUMIFS(Base!$L$3:$L$980,Base!$G$3:$G$980,G194),0)+ROW()/1000000)))</f>
        <v/>
      </c>
    </row>
    <row r="195" spans="2:18" ht="14.25" customHeight="1" x14ac:dyDescent="0.35">
      <c r="B195" s="35" t="str">
        <f t="shared" si="12"/>
        <v>201030000199Ara</v>
      </c>
      <c r="C195" s="35" t="s">
        <v>248</v>
      </c>
      <c r="D195" s="35" t="s">
        <v>249</v>
      </c>
      <c r="E195" s="36">
        <v>201030000199</v>
      </c>
      <c r="F195" s="36">
        <v>221000000986</v>
      </c>
      <c r="G195" s="35" t="s">
        <v>65</v>
      </c>
      <c r="H195" s="35" t="s">
        <v>386</v>
      </c>
      <c r="I195" s="35" t="s">
        <v>372</v>
      </c>
      <c r="J195" s="35" t="s">
        <v>12</v>
      </c>
      <c r="K195" s="37">
        <v>61</v>
      </c>
      <c r="L195" s="38">
        <v>3.3931115577825403E-2</v>
      </c>
      <c r="M195" s="38">
        <f t="shared" si="13"/>
        <v>1797.7599310016381</v>
      </c>
      <c r="N195" s="36">
        <v>26</v>
      </c>
      <c r="O195" s="39">
        <f t="shared" si="14"/>
        <v>26</v>
      </c>
      <c r="P195" s="37">
        <f t="shared" si="15"/>
        <v>0.88220900502346045</v>
      </c>
      <c r="Q195" s="40" t="str">
        <f>IF(ISERROR(I195),"",IF(I195="","",IF(COUNTIF($I$3:I195,I195)&gt;1,"",IFERROR(SUMIFS(Base!$P$3:$P$980,Base!$I$3:$I$980,I195)/SUMIFS(Base!$L$3:$L$980,Base!$I$3:$I$980,I195),0)+ROW()/1000000)))</f>
        <v/>
      </c>
      <c r="R195" s="40" t="str">
        <f>IF(ISERROR(G195),"",IF(G195="","",IF(COUNTIF($G$3:G195,G195)&gt;1,"",IFERROR(SUMIFS(Base!$P$3:$P$980,Base!$G$3:$G$980,G195)/SUMIFS(Base!$L$3:$L$980,Base!$G$3:$G$980,G195),0)+ROW()/1000000)))</f>
        <v/>
      </c>
    </row>
    <row r="196" spans="2:18" ht="14.25" customHeight="1" x14ac:dyDescent="0.35">
      <c r="B196" s="35" t="str">
        <f t="shared" si="12"/>
        <v>201030000199Jpe</v>
      </c>
      <c r="C196" s="35" t="s">
        <v>248</v>
      </c>
      <c r="D196" s="35" t="s">
        <v>249</v>
      </c>
      <c r="E196" s="36">
        <v>201030000199</v>
      </c>
      <c r="F196" s="36">
        <v>221000000986</v>
      </c>
      <c r="G196" s="35" t="s">
        <v>65</v>
      </c>
      <c r="H196" s="35" t="s">
        <v>386</v>
      </c>
      <c r="I196" s="35" t="s">
        <v>372</v>
      </c>
      <c r="J196" s="35" t="s">
        <v>13</v>
      </c>
      <c r="K196" s="37">
        <v>9</v>
      </c>
      <c r="L196" s="38">
        <v>0.12375705640211</v>
      </c>
      <c r="M196" s="38">
        <f t="shared" si="13"/>
        <v>72.723125950550269</v>
      </c>
      <c r="N196" s="36">
        <v>28</v>
      </c>
      <c r="O196" s="39">
        <f t="shared" si="14"/>
        <v>28</v>
      </c>
      <c r="P196" s="37">
        <f t="shared" si="15"/>
        <v>3.4651975792590801</v>
      </c>
      <c r="Q196" s="40" t="str">
        <f>IF(ISERROR(I196),"",IF(I196="","",IF(COUNTIF($I$3:I196,I196)&gt;1,"",IFERROR(SUMIFS(Base!$P$3:$P$980,Base!$I$3:$I$980,I196)/SUMIFS(Base!$L$3:$L$980,Base!$I$3:$I$980,I196),0)+ROW()/1000000)))</f>
        <v/>
      </c>
      <c r="R196" s="40" t="str">
        <f>IF(ISERROR(G196),"",IF(G196="","",IF(COUNTIF($G$3:G196,G196)&gt;1,"",IFERROR(SUMIFS(Base!$P$3:$P$980,Base!$G$3:$G$980,G196)/SUMIFS(Base!$L$3:$L$980,Base!$G$3:$G$980,G196),0)+ROW()/1000000)))</f>
        <v/>
      </c>
    </row>
    <row r="197" spans="2:18" ht="14.25" customHeight="1" x14ac:dyDescent="0.35">
      <c r="B197" s="35" t="str">
        <f t="shared" si="12"/>
        <v>201010000591Jpe</v>
      </c>
      <c r="C197" s="35" t="s">
        <v>248</v>
      </c>
      <c r="D197" s="35" t="s">
        <v>249</v>
      </c>
      <c r="E197" s="36">
        <v>201010000591</v>
      </c>
      <c r="F197" s="36">
        <v>201010000591</v>
      </c>
      <c r="G197" s="35" t="s">
        <v>126</v>
      </c>
      <c r="H197" s="35" t="s">
        <v>387</v>
      </c>
      <c r="I197" s="35" t="s">
        <v>264</v>
      </c>
      <c r="J197" s="35" t="s">
        <v>13</v>
      </c>
      <c r="K197" s="37">
        <v>31</v>
      </c>
      <c r="L197" s="38">
        <v>0.67580645161290298</v>
      </c>
      <c r="M197" s="38">
        <f t="shared" si="13"/>
        <v>45.871121718377104</v>
      </c>
      <c r="N197" s="36">
        <v>23</v>
      </c>
      <c r="O197" s="39">
        <f t="shared" si="14"/>
        <v>23</v>
      </c>
      <c r="P197" s="37">
        <f t="shared" si="15"/>
        <v>15.543548387096768</v>
      </c>
      <c r="Q197" s="40" t="str">
        <f>IF(ISERROR(I197),"",IF(I197="","",IF(COUNTIF($I$3:I197,I197)&gt;1,"",IFERROR(SUMIFS(Base!$P$3:$P$980,Base!$I$3:$I$980,I197)/SUMIFS(Base!$L$3:$L$980,Base!$I$3:$I$980,I197),0)+ROW()/1000000)))</f>
        <v/>
      </c>
      <c r="R197" s="40" t="str">
        <f>IF(ISERROR(G197),"",IF(G197="","",IF(COUNTIF($G$3:G197,G197)&gt;1,"",IFERROR(SUMIFS(Base!$P$3:$P$980,Base!$G$3:$G$980,G197)/SUMIFS(Base!$L$3:$L$980,Base!$G$3:$G$980,G197),0)+ROW()/1000000)))</f>
        <v/>
      </c>
    </row>
    <row r="198" spans="2:18" ht="14.25" customHeight="1" x14ac:dyDescent="0.35">
      <c r="B198" s="35" t="str">
        <f t="shared" si="12"/>
        <v>201010000591Ara</v>
      </c>
      <c r="C198" s="35" t="s">
        <v>248</v>
      </c>
      <c r="D198" s="35" t="s">
        <v>249</v>
      </c>
      <c r="E198" s="36">
        <v>201010000591</v>
      </c>
      <c r="F198" s="36">
        <v>201010000591</v>
      </c>
      <c r="G198" s="35" t="s">
        <v>126</v>
      </c>
      <c r="H198" s="35" t="s">
        <v>387</v>
      </c>
      <c r="I198" s="35" t="s">
        <v>264</v>
      </c>
      <c r="J198" s="35" t="s">
        <v>12</v>
      </c>
      <c r="K198" s="37">
        <v>54</v>
      </c>
      <c r="L198" s="38">
        <v>0.64201612903225802</v>
      </c>
      <c r="M198" s="38">
        <f t="shared" si="13"/>
        <v>84.110036427584475</v>
      </c>
      <c r="N198" s="36">
        <v>22.6805555555556</v>
      </c>
      <c r="O198" s="39">
        <f t="shared" si="14"/>
        <v>22.6805555555556</v>
      </c>
      <c r="P198" s="37">
        <f t="shared" si="15"/>
        <v>14.56128248207888</v>
      </c>
      <c r="Q198" s="40" t="str">
        <f>IF(ISERROR(I198),"",IF(I198="","",IF(COUNTIF($I$3:I198,I198)&gt;1,"",IFERROR(SUMIFS(Base!$P$3:$P$980,Base!$I$3:$I$980,I198)/SUMIFS(Base!$L$3:$L$980,Base!$I$3:$I$980,I198),0)+ROW()/1000000)))</f>
        <v/>
      </c>
      <c r="R198" s="40" t="str">
        <f>IF(ISERROR(G198),"",IF(G198="","",IF(COUNTIF($G$3:G198,G198)&gt;1,"",IFERROR(SUMIFS(Base!$P$3:$P$980,Base!$G$3:$G$980,G198)/SUMIFS(Base!$L$3:$L$980,Base!$G$3:$G$980,G198),0)+ROW()/1000000)))</f>
        <v/>
      </c>
    </row>
    <row r="199" spans="2:18" ht="14.25" customHeight="1" x14ac:dyDescent="0.35">
      <c r="B199" s="35" t="str">
        <f t="shared" si="12"/>
        <v>221000000884Ara</v>
      </c>
      <c r="C199" s="35" t="s">
        <v>248</v>
      </c>
      <c r="D199" s="35" t="s">
        <v>249</v>
      </c>
      <c r="E199" s="36">
        <v>221000000884</v>
      </c>
      <c r="F199" s="36">
        <v>221000000884</v>
      </c>
      <c r="G199" s="35" t="s">
        <v>65</v>
      </c>
      <c r="H199" s="35" t="s">
        <v>388</v>
      </c>
      <c r="I199" s="35" t="s">
        <v>298</v>
      </c>
      <c r="J199" s="35" t="s">
        <v>12</v>
      </c>
      <c r="K199" s="37">
        <v>65</v>
      </c>
      <c r="L199" s="38">
        <v>3.2100806451612902</v>
      </c>
      <c r="M199" s="38">
        <f t="shared" si="13"/>
        <v>20.248712473307375</v>
      </c>
      <c r="N199" s="36">
        <v>20</v>
      </c>
      <c r="O199" s="39">
        <f t="shared" si="14"/>
        <v>20</v>
      </c>
      <c r="P199" s="37">
        <f t="shared" si="15"/>
        <v>64.201612903225808</v>
      </c>
      <c r="Q199" s="40" t="str">
        <f>IF(ISERROR(I199),"",IF(I199="","",IF(COUNTIF($I$3:I199,I199)&gt;1,"",IFERROR(SUMIFS(Base!$P$3:$P$980,Base!$I$3:$I$980,I199)/SUMIFS(Base!$L$3:$L$980,Base!$I$3:$I$980,I199),0)+ROW()/1000000)))</f>
        <v/>
      </c>
      <c r="R199" s="40" t="str">
        <f>IF(ISERROR(G199),"",IF(G199="","",IF(COUNTIF($G$3:G199,G199)&gt;1,"",IFERROR(SUMIFS(Base!$P$3:$P$980,Base!$G$3:$G$980,G199)/SUMIFS(Base!$L$3:$L$980,Base!$G$3:$G$980,G199),0)+ROW()/1000000)))</f>
        <v/>
      </c>
    </row>
    <row r="200" spans="2:18" ht="14.25" customHeight="1" x14ac:dyDescent="0.35">
      <c r="B200" s="35" t="str">
        <f t="shared" si="12"/>
        <v>221000000884Jpe</v>
      </c>
      <c r="C200" s="35" t="s">
        <v>248</v>
      </c>
      <c r="D200" s="35" t="s">
        <v>249</v>
      </c>
      <c r="E200" s="36">
        <v>221000000884</v>
      </c>
      <c r="F200" s="36">
        <v>221000000884</v>
      </c>
      <c r="G200" s="35" t="s">
        <v>65</v>
      </c>
      <c r="H200" s="35" t="s">
        <v>388</v>
      </c>
      <c r="I200" s="35" t="s">
        <v>298</v>
      </c>
      <c r="J200" s="35" t="s">
        <v>13</v>
      </c>
      <c r="K200" s="37">
        <v>4</v>
      </c>
      <c r="L200" s="38">
        <v>2.1963709677419399</v>
      </c>
      <c r="M200" s="38">
        <f t="shared" si="13"/>
        <v>1.8211859739306004</v>
      </c>
      <c r="N200" s="36">
        <v>15</v>
      </c>
      <c r="O200" s="39">
        <f t="shared" si="14"/>
        <v>1.8211859739306004</v>
      </c>
      <c r="P200" s="37">
        <f t="shared" si="15"/>
        <v>4</v>
      </c>
      <c r="Q200" s="40" t="str">
        <f>IF(ISERROR(I200),"",IF(I200="","",IF(COUNTIF($I$3:I200,I200)&gt;1,"",IFERROR(SUMIFS(Base!$P$3:$P$980,Base!$I$3:$I$980,I200)/SUMIFS(Base!$L$3:$L$980,Base!$I$3:$I$980,I200),0)+ROW()/1000000)))</f>
        <v/>
      </c>
      <c r="R200" s="40" t="str">
        <f>IF(ISERROR(G200),"",IF(G200="","",IF(COUNTIF($G$3:G200,G200)&gt;1,"",IFERROR(SUMIFS(Base!$P$3:$P$980,Base!$G$3:$G$980,G200)/SUMIFS(Base!$L$3:$L$980,Base!$G$3:$G$980,G200),0)+ROW()/1000000)))</f>
        <v/>
      </c>
    </row>
    <row r="201" spans="2:18" ht="14.25" customHeight="1" x14ac:dyDescent="0.35">
      <c r="B201" s="35" t="str">
        <f t="shared" si="12"/>
        <v>241000000044Jpe</v>
      </c>
      <c r="C201" s="35" t="s">
        <v>248</v>
      </c>
      <c r="D201" s="35" t="s">
        <v>237</v>
      </c>
      <c r="E201" s="36">
        <v>241000000044</v>
      </c>
      <c r="F201" s="36">
        <v>241000000044</v>
      </c>
      <c r="G201" s="35" t="s">
        <v>45</v>
      </c>
      <c r="H201" s="41" t="s">
        <v>389</v>
      </c>
      <c r="I201" s="35" t="s">
        <v>288</v>
      </c>
      <c r="J201" s="35" t="s">
        <v>13</v>
      </c>
      <c r="K201" s="37">
        <v>2049</v>
      </c>
      <c r="L201" s="38">
        <v>5.0217348695018096</v>
      </c>
      <c r="M201" s="38">
        <f t="shared" si="13"/>
        <v>408.02632023527656</v>
      </c>
      <c r="N201" s="36">
        <v>12.5</v>
      </c>
      <c r="O201" s="39">
        <f t="shared" si="14"/>
        <v>12.5</v>
      </c>
      <c r="P201" s="37">
        <f t="shared" si="15"/>
        <v>62.771685868772622</v>
      </c>
      <c r="Q201" s="40" t="str">
        <f>IF(ISERROR(I201),"",IF(I201="","",IF(COUNTIF($I$3:I201,I201)&gt;1,"",IFERROR(SUMIFS(Base!$P$3:$P$980,Base!$I$3:$I$980,I201)/SUMIFS(Base!$L$3:$L$980,Base!$I$3:$I$980,I201),0)+ROW()/1000000)))</f>
        <v/>
      </c>
      <c r="R201" s="40" t="str">
        <f>IF(ISERROR(G201),"",IF(G201="","",IF(COUNTIF($G$3:G201,G201)&gt;1,"",IFERROR(SUMIFS(Base!$P$3:$P$980,Base!$G$3:$G$980,G201)/SUMIFS(Base!$L$3:$L$980,Base!$G$3:$G$980,G201),0)+ROW()/1000000)))</f>
        <v/>
      </c>
    </row>
    <row r="202" spans="2:18" ht="14.25" customHeight="1" x14ac:dyDescent="0.35">
      <c r="B202" s="35" t="str">
        <f t="shared" si="12"/>
        <v>241000000044Ara</v>
      </c>
      <c r="C202" s="35" t="s">
        <v>248</v>
      </c>
      <c r="D202" s="35" t="s">
        <v>237</v>
      </c>
      <c r="E202" s="36">
        <v>241000000044</v>
      </c>
      <c r="F202" s="36">
        <v>241000000044</v>
      </c>
      <c r="G202" s="35" t="s">
        <v>45</v>
      </c>
      <c r="H202" s="35" t="s">
        <v>389</v>
      </c>
      <c r="I202" s="35" t="s">
        <v>288</v>
      </c>
      <c r="J202" s="35" t="s">
        <v>12</v>
      </c>
      <c r="K202" s="37">
        <v>1329</v>
      </c>
      <c r="L202" s="38">
        <v>187.14125847849101</v>
      </c>
      <c r="M202" s="38">
        <f t="shared" si="13"/>
        <v>7.1015873827349942</v>
      </c>
      <c r="N202" s="36">
        <v>16.5</v>
      </c>
      <c r="O202" s="39">
        <f t="shared" si="14"/>
        <v>7.1015873827349942</v>
      </c>
      <c r="P202" s="37">
        <f t="shared" si="15"/>
        <v>1329</v>
      </c>
      <c r="Q202" s="40" t="str">
        <f>IF(ISERROR(I202),"",IF(I202="","",IF(COUNTIF($I$3:I202,I202)&gt;1,"",IFERROR(SUMIFS(Base!$P$3:$P$980,Base!$I$3:$I$980,I202)/SUMIFS(Base!$L$3:$L$980,Base!$I$3:$I$980,I202),0)+ROW()/1000000)))</f>
        <v/>
      </c>
      <c r="R202" s="40" t="str">
        <f>IF(ISERROR(G202),"",IF(G202="","",IF(COUNTIF($G$3:G202,G202)&gt;1,"",IFERROR(SUMIFS(Base!$P$3:$P$980,Base!$G$3:$G$980,G202)/SUMIFS(Base!$L$3:$L$980,Base!$G$3:$G$980,G202),0)+ROW()/1000000)))</f>
        <v/>
      </c>
    </row>
    <row r="203" spans="2:18" ht="14.25" customHeight="1" x14ac:dyDescent="0.35">
      <c r="L203" s="42"/>
    </row>
  </sheetData>
  <autoFilter ref="B2:R20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DOH</vt:lpstr>
      <vt:lpstr>Ara</vt:lpstr>
      <vt:lpstr>Jpe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Carolina Christofoletti</cp:lastModifiedBy>
  <cp:revision>1</cp:revision>
  <dcterms:created xsi:type="dcterms:W3CDTF">2026-10-21T19:51:50Z</dcterms:created>
  <dcterms:modified xsi:type="dcterms:W3CDTF">2026-10-22T14:34:39Z</dcterms:modified>
  <dc:language>en-US</dc:language>
</cp:coreProperties>
</file>